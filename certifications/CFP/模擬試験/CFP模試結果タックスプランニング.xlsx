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出題項目一覧_TAX" sheetId="1" r:id="rId5"/>
    <sheet state="visible" name="模擬試験結果_TAX" sheetId="2" r:id="rId6"/>
    <sheet state="visible" name="学習計画_TAX" sheetId="3" r:id="rId7"/>
    <sheet state="visible" name="学習計画2_TAX" sheetId="4" r:id="rId8"/>
  </sheets>
  <definedNames/>
  <calcPr/>
</workbook>
</file>

<file path=xl/sharedStrings.xml><?xml version="1.0" encoding="utf-8"?>
<sst xmlns="http://schemas.openxmlformats.org/spreadsheetml/2006/main" count="1262" uniqueCount="598">
  <si>
    <t>問番号</t>
  </si>
  <si>
    <t>項目名</t>
  </si>
  <si>
    <t>詳細/関連問題</t>
  </si>
  <si>
    <t>頻度/ページ</t>
  </si>
  <si>
    <t>【問 1】</t>
  </si>
  <si>
    <t>給与所得者</t>
  </si>
  <si>
    <t>(問題 1) 設問A</t>
  </si>
  <si>
    <t>★★ / 42</t>
  </si>
  <si>
    <t>(問題 2) 設問B</t>
  </si>
  <si>
    <t>★ / 42</t>
  </si>
  <si>
    <t>【問 2】</t>
  </si>
  <si>
    <t>(問題 3) 設問A</t>
  </si>
  <si>
    <t>★★ / 44</t>
  </si>
  <si>
    <t>(問題 4) 設問B</t>
  </si>
  <si>
    <t>★ / 44</t>
  </si>
  <si>
    <t>(問題 5) 設問C</t>
  </si>
  <si>
    <t>★★ / 45</t>
  </si>
  <si>
    <t>【問 3】</t>
  </si>
  <si>
    <t>(問題 6) 設問A</t>
  </si>
  <si>
    <t>★★ / 47</t>
  </si>
  <si>
    <t>(問題 7) 設問B</t>
  </si>
  <si>
    <t>★★ / 48</t>
  </si>
  <si>
    <t>【問 4】</t>
  </si>
  <si>
    <t>個人事業に係る税金等</t>
  </si>
  <si>
    <t>(問題 8) 設問A</t>
  </si>
  <si>
    <t>★★ / 49</t>
  </si>
  <si>
    <t>(問題 9) 設問B</t>
  </si>
  <si>
    <t>★ / 49</t>
  </si>
  <si>
    <t>(問題 10) 設問C</t>
  </si>
  <si>
    <t>★★★ / 50</t>
  </si>
  <si>
    <t>(問題 11) 設問D</t>
  </si>
  <si>
    <t>★ / 50</t>
  </si>
  <si>
    <t>【問 5】</t>
  </si>
  <si>
    <t>(問題 12) 設問A</t>
  </si>
  <si>
    <t>★ / 51</t>
  </si>
  <si>
    <t>(問題 13) 設問B</t>
  </si>
  <si>
    <t>★★ / 51</t>
  </si>
  <si>
    <t>(問題 14) 設問C</t>
  </si>
  <si>
    <t>★ / 52</t>
  </si>
  <si>
    <t>(問題 15) 設問D</t>
  </si>
  <si>
    <t>【問 6】</t>
  </si>
  <si>
    <t>減価償却費の計算</t>
  </si>
  <si>
    <t>(問題 16) 設問A</t>
  </si>
  <si>
    <t>★ / 53</t>
  </si>
  <si>
    <t>【問 7】</t>
  </si>
  <si>
    <t>相続により引き継いだ不動産賃貸業に係る不動産所得</t>
  </si>
  <si>
    <t>(問題 17) 設問A</t>
  </si>
  <si>
    <t>★ / 54</t>
  </si>
  <si>
    <t>(問題 18) 設問B</t>
  </si>
  <si>
    <t>(問題 19) 設問C</t>
  </si>
  <si>
    <t>★ / 55</t>
  </si>
  <si>
    <t>(問題 20) 設問D</t>
  </si>
  <si>
    <t>★★★ / 56</t>
  </si>
  <si>
    <t>【問 8】</t>
  </si>
  <si>
    <t>不動産所得</t>
  </si>
  <si>
    <t>(問題 21) 設問A</t>
  </si>
  <si>
    <t>★★★ / 57</t>
  </si>
  <si>
    <t>(問題 22) 設問B</t>
  </si>
  <si>
    <t>★★★ / 58</t>
  </si>
  <si>
    <t>(問題 23) 設問C</t>
  </si>
  <si>
    <t>★★ / 58</t>
  </si>
  <si>
    <t>【問 9】</t>
  </si>
  <si>
    <t>(問題 24) 設問A</t>
  </si>
  <si>
    <t>★ / 59</t>
  </si>
  <si>
    <t>(問題 25) 設問B</t>
  </si>
  <si>
    <t>★★★ / 60</t>
  </si>
  <si>
    <t>(問題 26) 設問C</t>
  </si>
  <si>
    <t>★ / 61</t>
  </si>
  <si>
    <t>(問題 27) 設問D</t>
  </si>
  <si>
    <t>(問題 28) 設問E</t>
  </si>
  <si>
    <t>★★★ / 62</t>
  </si>
  <si>
    <t>(問題 29) 設問F</t>
  </si>
  <si>
    <t>【問 10】</t>
  </si>
  <si>
    <t>(問題 30) 設問A</t>
  </si>
  <si>
    <t>★★ / 63</t>
  </si>
  <si>
    <t>(問題 31) 設問B</t>
  </si>
  <si>
    <t>★ / 64</t>
  </si>
  <si>
    <t>(問題 32) 設問C</t>
  </si>
  <si>
    <t>(問題 33) 設問D</t>
  </si>
  <si>
    <t>★ / 65</t>
  </si>
  <si>
    <t>【問 11】</t>
  </si>
  <si>
    <t>事業所得等</t>
  </si>
  <si>
    <t>(問題 34) 設問A</t>
  </si>
  <si>
    <t>★★ / 66</t>
  </si>
  <si>
    <t>(問題 35) 設問B</t>
  </si>
  <si>
    <t>★ / 67</t>
  </si>
  <si>
    <t>(問題 36) 設問C</t>
  </si>
  <si>
    <t>★ / 68</t>
  </si>
  <si>
    <t>(問題 37) 設問D</t>
  </si>
  <si>
    <t>【問 12】</t>
  </si>
  <si>
    <t>事業所得</t>
  </si>
  <si>
    <t>(問題 38) 設問A</t>
  </si>
  <si>
    <t>★★★ / 69</t>
  </si>
  <si>
    <t>(問題 39) 設問B</t>
  </si>
  <si>
    <t>★ / 70</t>
  </si>
  <si>
    <t>(問題 40) 設問C</t>
  </si>
  <si>
    <t>★★ / 70</t>
  </si>
  <si>
    <t>(問題 41) 設問D</t>
  </si>
  <si>
    <t>★ / 71</t>
  </si>
  <si>
    <t>【問 13】</t>
  </si>
  <si>
    <t>(問題 42) 設問A</t>
  </si>
  <si>
    <t>★★★ / 73</t>
  </si>
  <si>
    <t>(問題 43) 設問B</t>
  </si>
  <si>
    <t>★ / 73</t>
  </si>
  <si>
    <t>【問 14】</t>
  </si>
  <si>
    <t>(問題 44) 設問A</t>
  </si>
  <si>
    <t>★★ / 74</t>
  </si>
  <si>
    <t>(問題 45) 設問B</t>
  </si>
  <si>
    <t>★★ / 75</t>
  </si>
  <si>
    <t>(問題 46) 設問C</t>
  </si>
  <si>
    <t>★ / 75</t>
  </si>
  <si>
    <t>【問 15】</t>
  </si>
  <si>
    <t>為替・利子</t>
  </si>
  <si>
    <t>(問題 47) 設問A</t>
  </si>
  <si>
    <t>★★ / 76</t>
  </si>
  <si>
    <t>【問 16】</t>
  </si>
  <si>
    <t>一時所得</t>
  </si>
  <si>
    <t>(問題 48) 設問A</t>
  </si>
  <si>
    <t>★★ / 77</t>
  </si>
  <si>
    <t>(問題 49) 設問B</t>
  </si>
  <si>
    <t>【問 17】</t>
  </si>
  <si>
    <t>(問題 50) 設問A</t>
  </si>
  <si>
    <t>★ / 78</t>
  </si>
  <si>
    <t>(問題 51) 設問B</t>
  </si>
  <si>
    <t>【問 18】</t>
  </si>
  <si>
    <t>立退きに関連する所得</t>
  </si>
  <si>
    <t>(問題 52) 設問A</t>
  </si>
  <si>
    <t>★ / 79</t>
  </si>
  <si>
    <t>(問題 53) 設問B</t>
  </si>
  <si>
    <t>【問 19】</t>
  </si>
  <si>
    <t>ライフプランニング</t>
  </si>
  <si>
    <t>(問題 54) 設問A</t>
  </si>
  <si>
    <t>★★ / 84</t>
  </si>
  <si>
    <t>(問題 55) 設問B</t>
  </si>
  <si>
    <t>★ / 84</t>
  </si>
  <si>
    <t>(問題 56) 設問C</t>
  </si>
  <si>
    <t>★★ / 85</t>
  </si>
  <si>
    <t>(問題 57) 設問D</t>
  </si>
  <si>
    <t>★ / 85</t>
  </si>
  <si>
    <t>(問題 58) 設問E</t>
  </si>
  <si>
    <t>★★ / 86</t>
  </si>
  <si>
    <t>【問 20】</t>
  </si>
  <si>
    <t>(問題 59) 設問A</t>
  </si>
  <si>
    <t>★★ / 91</t>
  </si>
  <si>
    <t>(問題 60) 設問B</t>
  </si>
  <si>
    <t>(問題 61) 設問C</t>
  </si>
  <si>
    <t>★ / 92</t>
  </si>
  <si>
    <t>(問題 62) 設問D</t>
  </si>
  <si>
    <t>(問題 63) 設問E</t>
  </si>
  <si>
    <t>★ / 93</t>
  </si>
  <si>
    <t>(問題 64) 設問F</t>
  </si>
  <si>
    <t>★★★ / 93</t>
  </si>
  <si>
    <t>(問題 65) 設問G</t>
  </si>
  <si>
    <t>★ / 94</t>
  </si>
  <si>
    <t>【問 21】</t>
  </si>
  <si>
    <t>(問題 66) 設問A</t>
  </si>
  <si>
    <t>★ / 96</t>
  </si>
  <si>
    <t>(問題 67) 設問B</t>
  </si>
  <si>
    <t>★★ / 97</t>
  </si>
  <si>
    <t>(問題 68) 設問C</t>
  </si>
  <si>
    <t>★ / 97</t>
  </si>
  <si>
    <t>(問題 69) 設問D</t>
  </si>
  <si>
    <t>★ / 98</t>
  </si>
  <si>
    <t>(問題 70) 設問E</t>
  </si>
  <si>
    <t>(問題 71) 設問F</t>
  </si>
  <si>
    <t>★ / 99</t>
  </si>
  <si>
    <t>【問 22】</t>
  </si>
  <si>
    <t>リタイアメント</t>
  </si>
  <si>
    <t>(問題 72) 設問A</t>
  </si>
  <si>
    <t>★ / 101</t>
  </si>
  <si>
    <t>(問題 73) 設問B</t>
  </si>
  <si>
    <t>★ / 102</t>
  </si>
  <si>
    <t>(問題 74) 設問C</t>
  </si>
  <si>
    <t>【問 23】</t>
  </si>
  <si>
    <t>特定役員退職手当等</t>
  </si>
  <si>
    <t>(問題 75) 設問A</t>
  </si>
  <si>
    <t>★ / 103</t>
  </si>
  <si>
    <t>【問 24】</t>
  </si>
  <si>
    <t>(問題 76) 設問A</t>
  </si>
  <si>
    <t>★ / 104</t>
  </si>
  <si>
    <t>(問題 77) 設問B</t>
  </si>
  <si>
    <t>★ / 105</t>
  </si>
  <si>
    <t>(問題 78) 設問C</t>
  </si>
  <si>
    <t>【問 25】</t>
  </si>
  <si>
    <t>譲渡所得（総合課税）</t>
  </si>
  <si>
    <t>(問題 79) 設問A</t>
  </si>
  <si>
    <t>★★★ / 107</t>
  </si>
  <si>
    <t>【問 26】</t>
  </si>
  <si>
    <t>(問題 80) 設問A</t>
  </si>
  <si>
    <t>★★★ / 108</t>
  </si>
  <si>
    <t>(問題 81) 設問B</t>
  </si>
  <si>
    <t>★★ / 109</t>
  </si>
  <si>
    <t>(問題 82) 設問C</t>
  </si>
  <si>
    <t>★ / 109</t>
  </si>
  <si>
    <t>【問 27】</t>
  </si>
  <si>
    <t>株式等の譲渡所得と配当所得</t>
  </si>
  <si>
    <t>(問題 83) 設問A</t>
  </si>
  <si>
    <t>★★★ / 110</t>
  </si>
  <si>
    <t>(問題 84) 設問B</t>
  </si>
  <si>
    <t>★★★ / 111</t>
  </si>
  <si>
    <t>(問題 85) 設問C</t>
  </si>
  <si>
    <t>★★ / 112</t>
  </si>
  <si>
    <t>(問題 86) 設問D</t>
  </si>
  <si>
    <t>【問 28】</t>
  </si>
  <si>
    <t>(問題 87) 設問A</t>
  </si>
  <si>
    <t>★★ / 113</t>
  </si>
  <si>
    <t>(問題 88) 設問B</t>
  </si>
  <si>
    <t>★★★ / 114</t>
  </si>
  <si>
    <t>(問題 89) 設問C</t>
  </si>
  <si>
    <t>★★ / 115</t>
  </si>
  <si>
    <t>【問 29】</t>
  </si>
  <si>
    <t>(問題 90) 設問A</t>
  </si>
  <si>
    <t>★★ / 116</t>
  </si>
  <si>
    <t>(問題 91) 設問B</t>
  </si>
  <si>
    <t>★ / 117</t>
  </si>
  <si>
    <t>(問題 92) 設問C</t>
  </si>
  <si>
    <t>★★★ / 117</t>
  </si>
  <si>
    <t>【問 30】</t>
  </si>
  <si>
    <t>(問題 93) 設問A</t>
  </si>
  <si>
    <t>★ / 118</t>
  </si>
  <si>
    <t>(問題 94) 設問B</t>
  </si>
  <si>
    <t>【問 31】</t>
  </si>
  <si>
    <t>ストック・オプション</t>
  </si>
  <si>
    <t>(問題 95) 設問A</t>
  </si>
  <si>
    <t>★★ / 119</t>
  </si>
  <si>
    <t>(問題 96) 設問B</t>
  </si>
  <si>
    <t>【問 32】</t>
  </si>
  <si>
    <t>譲渡所得／土地・建物</t>
  </si>
  <si>
    <t>(問題 97) 設問A</t>
  </si>
  <si>
    <t>★★★ / 120</t>
  </si>
  <si>
    <t>【問 33】</t>
  </si>
  <si>
    <t>(問題 98) 設問A</t>
  </si>
  <si>
    <t>★★★ / 121</t>
  </si>
  <si>
    <t>【問 34】</t>
  </si>
  <si>
    <t>(問題 99) 設問A</t>
  </si>
  <si>
    <t>★ / 122</t>
  </si>
  <si>
    <t>(問題 100) 設問B</t>
  </si>
  <si>
    <t>(問題 101) 設問C</t>
  </si>
  <si>
    <t>★ / 123</t>
  </si>
  <si>
    <t>【問 35】</t>
  </si>
  <si>
    <t>(問題 102) 設問A</t>
  </si>
  <si>
    <t>★★★ / 124</t>
  </si>
  <si>
    <t>(問題 103) 設問B</t>
  </si>
  <si>
    <t>★ / 125</t>
  </si>
  <si>
    <t>(問題 104) 設問C</t>
  </si>
  <si>
    <t>【問 36】</t>
  </si>
  <si>
    <t>損益通算</t>
  </si>
  <si>
    <t>(問題 105) 設問A</t>
  </si>
  <si>
    <t>★★★ / 126</t>
  </si>
  <si>
    <t>【問 37】</t>
  </si>
  <si>
    <t>(問題 106) 設問A</t>
  </si>
  <si>
    <t>★ / 127</t>
  </si>
  <si>
    <t>(問題 107) 設問B</t>
  </si>
  <si>
    <t>★★ / 128</t>
  </si>
  <si>
    <t>【問 38】</t>
  </si>
  <si>
    <t>(問題 108) 設問A</t>
  </si>
  <si>
    <t>★ / 128</t>
  </si>
  <si>
    <t>【問 39】</t>
  </si>
  <si>
    <t>所得税額の計算</t>
  </si>
  <si>
    <t>(問題 109) 設問A</t>
  </si>
  <si>
    <t>★★★ / 129</t>
  </si>
  <si>
    <t>【問 40】</t>
  </si>
  <si>
    <t>(問題 110) 設問A</t>
  </si>
  <si>
    <t>★★★ / 130</t>
  </si>
  <si>
    <t>【問 41】</t>
  </si>
  <si>
    <t>(問題 111) 設問A</t>
  </si>
  <si>
    <t>★★★ / 131</t>
  </si>
  <si>
    <t>(問題 112) 設問B</t>
  </si>
  <si>
    <t>★★★ / 132</t>
  </si>
  <si>
    <t>(問題 113) 設問C</t>
  </si>
  <si>
    <t>【問 42】</t>
  </si>
  <si>
    <t>所得金額調整控除</t>
  </si>
  <si>
    <t>(問題 114) 設問A</t>
  </si>
  <si>
    <t>★ / 133</t>
  </si>
  <si>
    <t>【問 43】</t>
  </si>
  <si>
    <t>(問題 115) 設問A</t>
  </si>
  <si>
    <t>★ / 134</t>
  </si>
  <si>
    <t>【問 44】</t>
  </si>
  <si>
    <t>純損失の繰越控除</t>
  </si>
  <si>
    <t>(問題 116) 設問A</t>
  </si>
  <si>
    <t>★★ / 135</t>
  </si>
  <si>
    <t>【問 45】</t>
  </si>
  <si>
    <t>(問題 117) 設問A</t>
  </si>
  <si>
    <t>★★ / 136</t>
  </si>
  <si>
    <t>【問 46】</t>
  </si>
  <si>
    <t>所得控除</t>
  </si>
  <si>
    <t>(問題 118) 設問A</t>
  </si>
  <si>
    <t>★★ / 138</t>
  </si>
  <si>
    <t>(問題 119) 設問B</t>
  </si>
  <si>
    <t>★ / 138</t>
  </si>
  <si>
    <t>(問題 120) 設問C</t>
  </si>
  <si>
    <t>★★★ / 139</t>
  </si>
  <si>
    <t>(問題 121) 設問D</t>
  </si>
  <si>
    <t>★ / 140</t>
  </si>
  <si>
    <t>【問 47】</t>
  </si>
  <si>
    <t>(問題 122) 設問A</t>
  </si>
  <si>
    <t>★★ / 141</t>
  </si>
  <si>
    <t>(問題 123) 設問B</t>
  </si>
  <si>
    <t>★★★ / 142</t>
  </si>
  <si>
    <t>【問 48】</t>
  </si>
  <si>
    <t>(問題 124) 設問A</t>
  </si>
  <si>
    <t>★ / 144</t>
  </si>
  <si>
    <t>(問題 125) 設問B</t>
  </si>
  <si>
    <t>★★ / 144</t>
  </si>
  <si>
    <t>(問題 126) 設問C</t>
  </si>
  <si>
    <t>★ / 145</t>
  </si>
  <si>
    <t>(問題 127) 設問D</t>
  </si>
  <si>
    <t>★ / 146</t>
  </si>
  <si>
    <t>【問 49】</t>
  </si>
  <si>
    <t>所得控除／人的控除</t>
  </si>
  <si>
    <t>(問題 128) 設問A</t>
  </si>
  <si>
    <t>★ / 148</t>
  </si>
  <si>
    <t>(問題 129) 設問B</t>
  </si>
  <si>
    <t>【問 50】</t>
  </si>
  <si>
    <t>住宅ローン控除</t>
  </si>
  <si>
    <t>(問題 130) 設問A</t>
  </si>
  <si>
    <t>★★★ / 149</t>
  </si>
  <si>
    <t>【問 51】</t>
  </si>
  <si>
    <t>(問題 131) 設問A</t>
  </si>
  <si>
    <t>★★★ / 150</t>
  </si>
  <si>
    <t>(問題 132) 設問B</t>
  </si>
  <si>
    <t>★ / 151</t>
  </si>
  <si>
    <t>【問 52】</t>
  </si>
  <si>
    <t>(問題 133) 設問A</t>
  </si>
  <si>
    <t>★★★ / 152</t>
  </si>
  <si>
    <t>【問 53】</t>
  </si>
  <si>
    <t>所得税の申告</t>
  </si>
  <si>
    <t>(問題 134) 設問A</t>
  </si>
  <si>
    <t>★ / 153</t>
  </si>
  <si>
    <t>(問題 135) 設問B</t>
  </si>
  <si>
    <t>(問題 136) 設問C</t>
  </si>
  <si>
    <t>【問 54】</t>
  </si>
  <si>
    <t>所得税の申告・納付</t>
  </si>
  <si>
    <t>(問題 137) 設問A</t>
  </si>
  <si>
    <t>★ / 154</t>
  </si>
  <si>
    <t>(問題 138) 設問B</t>
  </si>
  <si>
    <t>【問 55】</t>
  </si>
  <si>
    <t>消費税</t>
  </si>
  <si>
    <t>(問題 139) 設問A</t>
  </si>
  <si>
    <t>★ / 155</t>
  </si>
  <si>
    <t>(問題 140) 設問B</t>
  </si>
  <si>
    <t>【問 56】</t>
  </si>
  <si>
    <t>(問題 141) 設問A</t>
  </si>
  <si>
    <t>★ / 156</t>
  </si>
  <si>
    <t>(問題 142) 設問B</t>
  </si>
  <si>
    <t>★ / 157</t>
  </si>
  <si>
    <t>【問 57】</t>
  </si>
  <si>
    <t>(問題 143) 設問A</t>
  </si>
  <si>
    <t>★ / 158</t>
  </si>
  <si>
    <t>(問題 144) 設問B</t>
  </si>
  <si>
    <t>(問題 145) 設問C</t>
  </si>
  <si>
    <t>★ / 159</t>
  </si>
  <si>
    <t>【問 58】</t>
  </si>
  <si>
    <t>(問題 146) 設問A</t>
  </si>
  <si>
    <t>★ / 160</t>
  </si>
  <si>
    <t>(問題 147) 設問B</t>
  </si>
  <si>
    <t>★ / 161</t>
  </si>
  <si>
    <t>【問 59】</t>
  </si>
  <si>
    <t>(問題 148) 設問A</t>
  </si>
  <si>
    <t>★ / 162</t>
  </si>
  <si>
    <t>【問 60】</t>
  </si>
  <si>
    <t>個人事業税</t>
  </si>
  <si>
    <t>(問題 149) 設問A</t>
  </si>
  <si>
    <t>★★★ / 163</t>
  </si>
  <si>
    <t>【問 61】</t>
  </si>
  <si>
    <t>(問題 150) 設問A</t>
  </si>
  <si>
    <t>★★★ / 164</t>
  </si>
  <si>
    <t>【問 62】</t>
  </si>
  <si>
    <t>個人住民税、個人事業税</t>
  </si>
  <si>
    <t>(問題 151) 設問A</t>
  </si>
  <si>
    <t>★★★ / 165</t>
  </si>
  <si>
    <t>(問題 152) 設問B</t>
  </si>
  <si>
    <t>★ / 165</t>
  </si>
  <si>
    <t>【問 63】</t>
  </si>
  <si>
    <t>個人住民税</t>
  </si>
  <si>
    <t>(問題 153) 設問A</t>
  </si>
  <si>
    <t>★ / 167</t>
  </si>
  <si>
    <t>【問 64】</t>
  </si>
  <si>
    <t>ふるさと納税</t>
  </si>
  <si>
    <t>(問題 154) 設問A</t>
  </si>
  <si>
    <t>★ / 168</t>
  </si>
  <si>
    <t>(問題 155) 設問B</t>
  </si>
  <si>
    <t>【問 65】</t>
  </si>
  <si>
    <t>非居住者</t>
  </si>
  <si>
    <t>(問題 156) 設問A</t>
  </si>
  <si>
    <t>★ / 169</t>
  </si>
  <si>
    <t>【問 66】</t>
  </si>
  <si>
    <t>(問題 157) 設問A</t>
  </si>
  <si>
    <t>★ / 170</t>
  </si>
  <si>
    <t>【問 67】</t>
  </si>
  <si>
    <t>(問題 158) 設問A</t>
  </si>
  <si>
    <t>【問 68】</t>
  </si>
  <si>
    <t>法人成り</t>
  </si>
  <si>
    <t>(問題 159) 設問A</t>
  </si>
  <si>
    <t>★ / 171</t>
  </si>
  <si>
    <t>(問題 160) 設問B</t>
  </si>
  <si>
    <t>★ / 172</t>
  </si>
  <si>
    <t>(問題 161) 設問C</t>
  </si>
  <si>
    <t>【問 69】</t>
  </si>
  <si>
    <t>(問題 162) 設問A</t>
  </si>
  <si>
    <t>★★ / 174</t>
  </si>
  <si>
    <t>(問題 163) 設問B</t>
  </si>
  <si>
    <t>★★★ / 174</t>
  </si>
  <si>
    <t>(問題 164) 設問C</t>
  </si>
  <si>
    <t>★ / 174</t>
  </si>
  <si>
    <t>【問 70】</t>
  </si>
  <si>
    <t>(問題 165) 設問A</t>
  </si>
  <si>
    <t>★★ / 175</t>
  </si>
  <si>
    <t>(問題 166) 設問B</t>
  </si>
  <si>
    <t>★ / 176</t>
  </si>
  <si>
    <t>(問題 167) 設問C</t>
  </si>
  <si>
    <t>★★ / 176</t>
  </si>
  <si>
    <t>【問 71】</t>
  </si>
  <si>
    <t>法人税</t>
  </si>
  <si>
    <t>(問題 168) 設問A</t>
  </si>
  <si>
    <t>★★★ / 178</t>
  </si>
  <si>
    <t>(問題 169) 設問B</t>
  </si>
  <si>
    <t>(問題 170) 設問C</t>
  </si>
  <si>
    <t>★★★ / 179</t>
  </si>
  <si>
    <t>(問題 171) 設問D</t>
  </si>
  <si>
    <t>(問題 172) 設問E</t>
  </si>
  <si>
    <t>【問 72】</t>
  </si>
  <si>
    <t>(問題 173) 設問A</t>
  </si>
  <si>
    <t>★★★ / 182</t>
  </si>
  <si>
    <t>(問題 174) 設問B</t>
  </si>
  <si>
    <t>(問題 175) 設問C</t>
  </si>
  <si>
    <t>(問題 176) 設問D</t>
  </si>
  <si>
    <t>(問題 177) 設問E</t>
  </si>
  <si>
    <t>★★★ / 183</t>
  </si>
  <si>
    <t>(問題 178) 設問F</t>
  </si>
  <si>
    <t>【問 73】</t>
  </si>
  <si>
    <t>(問題 179) 設問A</t>
  </si>
  <si>
    <t>★★★ / 186</t>
  </si>
  <si>
    <t>(問題 180) 設問B</t>
  </si>
  <si>
    <t>(問題 181) 設問C</t>
  </si>
  <si>
    <t>★★ / 186</t>
  </si>
  <si>
    <t>(問題 182) 設問D</t>
  </si>
  <si>
    <t>(問題 183) 設問E</t>
  </si>
  <si>
    <t>【問 74】</t>
  </si>
  <si>
    <t>法人と役員間の取引</t>
  </si>
  <si>
    <t>(問題 184) 設問A</t>
  </si>
  <si>
    <t>★★★ / 187</t>
  </si>
  <si>
    <t>(問題 185) 設問B</t>
  </si>
  <si>
    <t>【問 75】</t>
  </si>
  <si>
    <t>役員と法人の取引、法人と生命保険</t>
  </si>
  <si>
    <t>(問題 186) 設問A</t>
  </si>
  <si>
    <t>★★★ / 188</t>
  </si>
  <si>
    <t>(問題 187) 設問B</t>
  </si>
  <si>
    <t>★ / 188</t>
  </si>
  <si>
    <t>【問 76】</t>
  </si>
  <si>
    <t>役員と法人の取引</t>
  </si>
  <si>
    <t>(問題 188) 設問A</t>
  </si>
  <si>
    <t>★ / 189</t>
  </si>
  <si>
    <t>(問題 189) 設問B</t>
  </si>
  <si>
    <t>★★★ / 189</t>
  </si>
  <si>
    <t>【問 77】</t>
  </si>
  <si>
    <t>(問題 190) 設問A</t>
  </si>
  <si>
    <t>★★★ / 190</t>
  </si>
  <si>
    <t>(問題 191) 設問B</t>
  </si>
  <si>
    <t>【問 78】</t>
  </si>
  <si>
    <t>法人の生命保険</t>
  </si>
  <si>
    <t>(問題 192) 設問A</t>
  </si>
  <si>
    <t>★ / 191</t>
  </si>
  <si>
    <t>(問題 193) 設問B</t>
  </si>
  <si>
    <t>【問 79】</t>
  </si>
  <si>
    <t>損益分岐点分析</t>
  </si>
  <si>
    <t>(問題 194) 設問A</t>
  </si>
  <si>
    <t>★ / 192</t>
  </si>
  <si>
    <t>(問題 195) 設問B</t>
  </si>
  <si>
    <t>【問 80】</t>
  </si>
  <si>
    <t>(問題 196) 設問A</t>
  </si>
  <si>
    <t>★★ / 193</t>
  </si>
  <si>
    <t>(問題 197) 設問B</t>
  </si>
  <si>
    <t>【問 81】</t>
  </si>
  <si>
    <t>財務諸表の読みこなし</t>
  </si>
  <si>
    <t>(問題 198) 設問A</t>
  </si>
  <si>
    <t>★★★ / 195</t>
  </si>
  <si>
    <t>(問題 199) 設問B</t>
  </si>
  <si>
    <t>【問 82】</t>
  </si>
  <si>
    <t>(問題 200) 設問A</t>
  </si>
  <si>
    <t>★★★ / 197</t>
  </si>
  <si>
    <t>(問題 201) 設問B</t>
  </si>
  <si>
    <t>【問 83】</t>
  </si>
  <si>
    <t>(問題 202) 設問A</t>
  </si>
  <si>
    <t>★ / 198</t>
  </si>
  <si>
    <t>(問題 203) 設問B</t>
  </si>
  <si>
    <t>１回目</t>
  </si>
  <si>
    <t>２回目</t>
  </si>
  <si>
    <t>３回目</t>
  </si>
  <si>
    <t>分野,正答数,設問数,正答率</t>
  </si>
  <si>
    <t>分野</t>
  </si>
  <si>
    <t>正答数</t>
  </si>
  <si>
    <t>設問数</t>
  </si>
  <si>
    <t>正答率</t>
  </si>
  <si>
    <t>ライフプランニング,3,6,50%</t>
  </si>
  <si>
    <t>給与所得,2,2,100%</t>
  </si>
  <si>
    <t>給与所得</t>
  </si>
  <si>
    <t>不動産所得,4,6,67%</t>
  </si>
  <si>
    <t>事業所得,4,5,80%</t>
  </si>
  <si>
    <t>リタイアメント,3,6,50%</t>
  </si>
  <si>
    <t>株式等譲渡所得,1,3,33%</t>
  </si>
  <si>
    <t>株式等譲渡所得</t>
  </si>
  <si>
    <t>譲渡所得（土地・建物）,1,1,100%</t>
  </si>
  <si>
    <t>譲渡所得（土地・建物）</t>
  </si>
  <si>
    <t>所得控除,2,3,67%</t>
  </si>
  <si>
    <t>損益通算,2,2,100%</t>
  </si>
  <si>
    <t>住宅ローン控除,1,1,100%</t>
  </si>
  <si>
    <t>所得税の申告・納付,0,1,0%</t>
  </si>
  <si>
    <t>非居住者,0,1,0%</t>
  </si>
  <si>
    <t>消費税,0,2,0%</t>
  </si>
  <si>
    <t>個人事業税,0,1,0%</t>
  </si>
  <si>
    <t>法人なり,1,3,33%</t>
  </si>
  <si>
    <t>法人なり</t>
  </si>
  <si>
    <t>法人税,1,6,17%</t>
  </si>
  <si>
    <t>役員・法人の取引／法人契約の生命保険,2,2,100%</t>
  </si>
  <si>
    <t>役員・法人の取引／法人契約の生命保険</t>
  </si>
  <si>
    <t>財務諸表の読みこなし,1,2,50%</t>
  </si>
  <si>
    <t>優先度</t>
  </si>
  <si>
    <t>頻度</t>
  </si>
  <si>
    <t>模試正答率</t>
  </si>
  <si>
    <t>ページ</t>
  </si>
  <si>
    <t>個人事業税(問題 149)</t>
  </si>
  <si>
    <t>設問A</t>
  </si>
  <si>
    <t>★★★</t>
  </si>
  <si>
    <t>個人事業税(問題 150)</t>
  </si>
  <si>
    <t>個人住民税、個人事業税(問題 151)</t>
  </si>
  <si>
    <t>法人税(問題 168)</t>
  </si>
  <si>
    <t>法人税(問題 169)</t>
  </si>
  <si>
    <t>設問B</t>
  </si>
  <si>
    <t>法人税(問題 170)</t>
  </si>
  <si>
    <t>設問C</t>
  </si>
  <si>
    <t>法人税(問題 171)</t>
  </si>
  <si>
    <t>設問D</t>
  </si>
  <si>
    <t>法人税(問題 172)</t>
  </si>
  <si>
    <t>設問E</t>
  </si>
  <si>
    <t>法人税(問題 173)</t>
  </si>
  <si>
    <t>法人税(問題 174)</t>
  </si>
  <si>
    <t>法人税(問題 175)</t>
  </si>
  <si>
    <t>法人税(問題 176)</t>
  </si>
  <si>
    <t>法人税(問題 177)</t>
  </si>
  <si>
    <t>法人税(問題 178)</t>
  </si>
  <si>
    <t>設問F</t>
  </si>
  <si>
    <t>法人税(問題 179)</t>
  </si>
  <si>
    <t>法人税(問題 180)</t>
  </si>
  <si>
    <t>法人税(問題 182)</t>
  </si>
  <si>
    <t>法人税(問題 183)</t>
  </si>
  <si>
    <t>株式等の譲渡所得と配当所得(問題 83)</t>
  </si>
  <si>
    <t>株式等の譲渡所得と配当所得(問題 84)</t>
  </si>
  <si>
    <t>株式等の譲渡所得と配当所得(問題 88)</t>
  </si>
  <si>
    <t>株式等の譲渡所得と配当所得(問題 92)</t>
  </si>
  <si>
    <t>法人成り(問題 163)</t>
  </si>
  <si>
    <t>財務諸表</t>
  </si>
  <si>
    <t>財務諸表の読みこなし(問題 198)</t>
  </si>
  <si>
    <t>財務諸表の読みこなし(問題 199)</t>
  </si>
  <si>
    <t>財務諸表の読みこなし(問題 200)</t>
  </si>
  <si>
    <t>財務諸表の読みこなし(問題 201)</t>
  </si>
  <si>
    <t>ライフプラン</t>
  </si>
  <si>
    <t>ライフプランニング(問題 64)</t>
  </si>
  <si>
    <t>法人税(問題 181)</t>
  </si>
  <si>
    <t>★★</t>
  </si>
  <si>
    <t>株式等の譲渡所得と配当所得(問題 85)</t>
  </si>
  <si>
    <t>株式等の譲渡所得と配当所得(問題 86)</t>
  </si>
  <si>
    <t>株式等の譲渡所得と配当所得(問題 87)</t>
  </si>
  <si>
    <t>株式等の譲渡所得と配当所得(問題 89)</t>
  </si>
  <si>
    <t>株式等の譲渡所得と配当所得(問題 90)</t>
  </si>
  <si>
    <t>ストック・オプション(問題 95)</t>
  </si>
  <si>
    <t>ストック・オプション(問題 96)</t>
  </si>
  <si>
    <t>法人成り(問題 162)</t>
  </si>
  <si>
    <t>法人成り(問題 165)</t>
  </si>
  <si>
    <t>法人成り(問題 167)</t>
  </si>
  <si>
    <t>損益分岐点分析(問題 196)</t>
  </si>
  <si>
    <t>損益分岐点分析(問題 197)</t>
  </si>
  <si>
    <t>ライフプランニング(問題 54)</t>
  </si>
  <si>
    <t>ライフプランニング(問題 56)</t>
  </si>
  <si>
    <t>ライフプランニング(問題 58)</t>
  </si>
  <si>
    <t>ライフプランニング(問題 59)</t>
  </si>
  <si>
    <t>ライフプランニング(問題 60)</t>
  </si>
  <si>
    <t>模試分野</t>
  </si>
  <si>
    <t>問題番号</t>
  </si>
  <si>
    <t>頻度（★）</t>
  </si>
  <si>
    <t>問60</t>
  </si>
  <si>
    <t>問61</t>
  </si>
  <si>
    <t>問62</t>
  </si>
  <si>
    <t>問71</t>
  </si>
  <si>
    <t>問72</t>
  </si>
  <si>
    <t>問73</t>
  </si>
  <si>
    <t>(その他、問71-73に多数の★★★項目)</t>
  </si>
  <si>
    <t>---</t>
  </si>
  <si>
    <t>役員・法人の取引等</t>
  </si>
  <si>
    <t>問74</t>
  </si>
  <si>
    <t>問75</t>
  </si>
  <si>
    <t>問77</t>
  </si>
  <si>
    <t>(その他、問74-77に多数の★★★項目)</t>
  </si>
  <si>
    <t>問69</t>
  </si>
  <si>
    <t>問36</t>
  </si>
  <si>
    <t>問37</t>
  </si>
  <si>
    <t>−60%</t>
  </si>
  <si>
    <t>−67%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</si>
</sst>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right style="thin">
        <color rgb="FFC4C7C5"/>
      </right>
      <bottom style="thin">
        <color rgb="FFC4C7C5"/>
      </bottom>
    </border>
    <border>
      <bottom style="thin">
        <color rgb="FFC4C7C5"/>
      </bottom>
    </border>
    <border>
      <right style="thin">
        <color rgb="FFC4C7C5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9" xfId="0" applyFont="1" applyNumberFormat="1"/>
    <xf borderId="0" fillId="0" fontId="1" numFmtId="9" xfId="0" applyAlignment="1" applyFont="1" applyNumberFormat="1">
      <alignment readingOrder="0"/>
    </xf>
    <xf borderId="1" fillId="2" fontId="2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1" fillId="2" fontId="2" numFmtId="9" xfId="0" applyAlignment="1" applyBorder="1" applyFont="1" applyNumberFormat="1">
      <alignment readingOrder="0"/>
    </xf>
    <xf borderId="1" fillId="2" fontId="2" numFmtId="0" xfId="0" applyBorder="1" applyFont="1"/>
    <xf borderId="3" fillId="2" fontId="2" numFmtId="9" xfId="0" applyAlignment="1" applyBorder="1" applyFont="1" applyNumberFormat="1">
      <alignment readingOrder="0"/>
    </xf>
    <xf borderId="3" fillId="2" fontId="2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41.0"/>
    <col customWidth="1" min="3" max="3" width="14.0"/>
    <col customWidth="1" min="4" max="5" width="12.25"/>
    <col customWidth="1" min="6" max="6" width="9.75"/>
    <col customWidth="1" min="7" max="7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9</v>
      </c>
    </row>
    <row r="4">
      <c r="A4" s="1" t="s">
        <v>10</v>
      </c>
      <c r="B4" s="1" t="s">
        <v>5</v>
      </c>
      <c r="C4" s="1" t="s">
        <v>11</v>
      </c>
      <c r="D4" s="1" t="s">
        <v>12</v>
      </c>
    </row>
    <row r="5">
      <c r="A5" s="1" t="s">
        <v>10</v>
      </c>
      <c r="B5" s="1" t="s">
        <v>5</v>
      </c>
      <c r="C5" s="1" t="s">
        <v>13</v>
      </c>
      <c r="D5" s="1" t="s">
        <v>14</v>
      </c>
    </row>
    <row r="6">
      <c r="A6" s="1" t="s">
        <v>10</v>
      </c>
      <c r="B6" s="1" t="s">
        <v>5</v>
      </c>
      <c r="C6" s="1" t="s">
        <v>15</v>
      </c>
      <c r="D6" s="1" t="s">
        <v>16</v>
      </c>
    </row>
    <row r="7">
      <c r="A7" s="1" t="s">
        <v>17</v>
      </c>
      <c r="B7" s="1" t="s">
        <v>5</v>
      </c>
      <c r="C7" s="1" t="s">
        <v>18</v>
      </c>
      <c r="D7" s="1" t="s">
        <v>19</v>
      </c>
    </row>
    <row r="8">
      <c r="A8" s="1" t="s">
        <v>17</v>
      </c>
      <c r="B8" s="1" t="s">
        <v>5</v>
      </c>
      <c r="C8" s="1" t="s">
        <v>20</v>
      </c>
      <c r="D8" s="1" t="s">
        <v>21</v>
      </c>
    </row>
    <row r="9">
      <c r="A9" s="1" t="s">
        <v>22</v>
      </c>
      <c r="B9" s="1" t="s">
        <v>23</v>
      </c>
      <c r="C9" s="1" t="s">
        <v>24</v>
      </c>
      <c r="D9" s="1" t="s">
        <v>25</v>
      </c>
    </row>
    <row r="10">
      <c r="A10" s="1" t="s">
        <v>22</v>
      </c>
      <c r="B10" s="1" t="s">
        <v>23</v>
      </c>
      <c r="C10" s="1" t="s">
        <v>26</v>
      </c>
      <c r="D10" s="1" t="s">
        <v>27</v>
      </c>
    </row>
    <row r="11">
      <c r="A11" s="1" t="s">
        <v>22</v>
      </c>
      <c r="B11" s="1" t="s">
        <v>23</v>
      </c>
      <c r="C11" s="1" t="s">
        <v>28</v>
      </c>
      <c r="D11" s="1" t="s">
        <v>29</v>
      </c>
    </row>
    <row r="12">
      <c r="A12" s="1" t="s">
        <v>22</v>
      </c>
      <c r="B12" s="1" t="s">
        <v>23</v>
      </c>
      <c r="C12" s="1" t="s">
        <v>30</v>
      </c>
      <c r="D12" s="1" t="s">
        <v>31</v>
      </c>
    </row>
    <row r="13">
      <c r="A13" s="1" t="s">
        <v>32</v>
      </c>
      <c r="B13" s="1" t="s">
        <v>23</v>
      </c>
      <c r="C13" s="1" t="s">
        <v>33</v>
      </c>
      <c r="D13" s="1" t="s">
        <v>34</v>
      </c>
    </row>
    <row r="14">
      <c r="A14" s="1" t="s">
        <v>32</v>
      </c>
      <c r="B14" s="1" t="s">
        <v>23</v>
      </c>
      <c r="C14" s="1" t="s">
        <v>35</v>
      </c>
      <c r="D14" s="1" t="s">
        <v>36</v>
      </c>
    </row>
    <row r="15">
      <c r="A15" s="1" t="s">
        <v>32</v>
      </c>
      <c r="B15" s="1" t="s">
        <v>23</v>
      </c>
      <c r="C15" s="1" t="s">
        <v>37</v>
      </c>
      <c r="D15" s="1" t="s">
        <v>38</v>
      </c>
    </row>
    <row r="16">
      <c r="A16" s="1" t="s">
        <v>32</v>
      </c>
      <c r="B16" s="1" t="s">
        <v>23</v>
      </c>
      <c r="C16" s="1" t="s">
        <v>39</v>
      </c>
      <c r="D16" s="1" t="s">
        <v>38</v>
      </c>
    </row>
    <row r="17">
      <c r="A17" s="1" t="s">
        <v>40</v>
      </c>
      <c r="B17" s="1" t="s">
        <v>41</v>
      </c>
      <c r="C17" s="1" t="s">
        <v>42</v>
      </c>
      <c r="D17" s="1" t="s">
        <v>43</v>
      </c>
    </row>
    <row r="18">
      <c r="A18" s="1" t="s">
        <v>44</v>
      </c>
      <c r="B18" s="1" t="s">
        <v>45</v>
      </c>
      <c r="C18" s="1" t="s">
        <v>46</v>
      </c>
      <c r="D18" s="1" t="s">
        <v>47</v>
      </c>
    </row>
    <row r="19">
      <c r="A19" s="1" t="s">
        <v>44</v>
      </c>
      <c r="B19" s="1" t="s">
        <v>45</v>
      </c>
      <c r="C19" s="1" t="s">
        <v>48</v>
      </c>
      <c r="D19" s="1" t="s">
        <v>47</v>
      </c>
    </row>
    <row r="20">
      <c r="A20" s="1" t="s">
        <v>44</v>
      </c>
      <c r="B20" s="1" t="s">
        <v>45</v>
      </c>
      <c r="C20" s="1" t="s">
        <v>49</v>
      </c>
      <c r="D20" s="1" t="s">
        <v>50</v>
      </c>
    </row>
    <row r="21">
      <c r="A21" s="1" t="s">
        <v>44</v>
      </c>
      <c r="B21" s="1" t="s">
        <v>45</v>
      </c>
      <c r="C21" s="1" t="s">
        <v>51</v>
      </c>
      <c r="D21" s="1" t="s">
        <v>52</v>
      </c>
    </row>
    <row r="22">
      <c r="A22" s="1" t="s">
        <v>53</v>
      </c>
      <c r="B22" s="1" t="s">
        <v>54</v>
      </c>
      <c r="C22" s="1" t="s">
        <v>55</v>
      </c>
      <c r="D22" s="1" t="s">
        <v>56</v>
      </c>
    </row>
    <row r="23">
      <c r="A23" s="1" t="s">
        <v>53</v>
      </c>
      <c r="B23" s="1" t="s">
        <v>54</v>
      </c>
      <c r="C23" s="1" t="s">
        <v>57</v>
      </c>
      <c r="D23" s="1" t="s">
        <v>58</v>
      </c>
    </row>
    <row r="24">
      <c r="A24" s="1" t="s">
        <v>53</v>
      </c>
      <c r="B24" s="1" t="s">
        <v>54</v>
      </c>
      <c r="C24" s="1" t="s">
        <v>59</v>
      </c>
      <c r="D24" s="1" t="s">
        <v>60</v>
      </c>
    </row>
    <row r="25">
      <c r="A25" s="1" t="s">
        <v>61</v>
      </c>
      <c r="B25" s="1" t="s">
        <v>54</v>
      </c>
      <c r="C25" s="1" t="s">
        <v>62</v>
      </c>
      <c r="D25" s="1" t="s">
        <v>63</v>
      </c>
    </row>
    <row r="26">
      <c r="A26" s="1" t="s">
        <v>61</v>
      </c>
      <c r="B26" s="1" t="s">
        <v>54</v>
      </c>
      <c r="C26" s="1" t="s">
        <v>64</v>
      </c>
      <c r="D26" s="1" t="s">
        <v>65</v>
      </c>
    </row>
    <row r="27">
      <c r="A27" s="1" t="s">
        <v>61</v>
      </c>
      <c r="B27" s="1" t="s">
        <v>54</v>
      </c>
      <c r="C27" s="1" t="s">
        <v>66</v>
      </c>
      <c r="D27" s="1" t="s">
        <v>67</v>
      </c>
    </row>
    <row r="28">
      <c r="A28" s="1" t="s">
        <v>61</v>
      </c>
      <c r="B28" s="1" t="s">
        <v>54</v>
      </c>
      <c r="C28" s="1" t="s">
        <v>68</v>
      </c>
      <c r="D28" s="1" t="s">
        <v>67</v>
      </c>
    </row>
    <row r="29">
      <c r="A29" s="1" t="s">
        <v>61</v>
      </c>
      <c r="B29" s="1" t="s">
        <v>54</v>
      </c>
      <c r="C29" s="1" t="s">
        <v>69</v>
      </c>
      <c r="D29" s="1" t="s">
        <v>70</v>
      </c>
    </row>
    <row r="30">
      <c r="A30" s="1" t="s">
        <v>61</v>
      </c>
      <c r="B30" s="1" t="s">
        <v>54</v>
      </c>
      <c r="C30" s="1" t="s">
        <v>71</v>
      </c>
      <c r="D30" s="1" t="s">
        <v>70</v>
      </c>
    </row>
    <row r="31">
      <c r="A31" s="1" t="s">
        <v>72</v>
      </c>
      <c r="B31" s="1" t="s">
        <v>54</v>
      </c>
      <c r="C31" s="1" t="s">
        <v>73</v>
      </c>
      <c r="D31" s="1" t="s">
        <v>74</v>
      </c>
    </row>
    <row r="32">
      <c r="A32" s="1" t="s">
        <v>72</v>
      </c>
      <c r="B32" s="1" t="s">
        <v>54</v>
      </c>
      <c r="C32" s="1" t="s">
        <v>75</v>
      </c>
      <c r="D32" s="1" t="s">
        <v>76</v>
      </c>
    </row>
    <row r="33">
      <c r="A33" s="1" t="s">
        <v>72</v>
      </c>
      <c r="B33" s="1" t="s">
        <v>54</v>
      </c>
      <c r="C33" s="1" t="s">
        <v>77</v>
      </c>
      <c r="D33" s="1" t="s">
        <v>76</v>
      </c>
    </row>
    <row r="34">
      <c r="A34" s="1" t="s">
        <v>72</v>
      </c>
      <c r="B34" s="1" t="s">
        <v>54</v>
      </c>
      <c r="C34" s="1" t="s">
        <v>78</v>
      </c>
      <c r="D34" s="1" t="s">
        <v>79</v>
      </c>
    </row>
    <row r="35">
      <c r="A35" s="1" t="s">
        <v>80</v>
      </c>
      <c r="B35" s="1" t="s">
        <v>81</v>
      </c>
      <c r="C35" s="1" t="s">
        <v>82</v>
      </c>
      <c r="D35" s="1" t="s">
        <v>83</v>
      </c>
    </row>
    <row r="36">
      <c r="A36" s="1" t="s">
        <v>80</v>
      </c>
      <c r="B36" s="1" t="s">
        <v>81</v>
      </c>
      <c r="C36" s="1" t="s">
        <v>84</v>
      </c>
      <c r="D36" s="1" t="s">
        <v>85</v>
      </c>
    </row>
    <row r="37">
      <c r="A37" s="1" t="s">
        <v>80</v>
      </c>
      <c r="B37" s="1" t="s">
        <v>81</v>
      </c>
      <c r="C37" s="1" t="s">
        <v>86</v>
      </c>
      <c r="D37" s="1" t="s">
        <v>87</v>
      </c>
    </row>
    <row r="38">
      <c r="A38" s="1" t="s">
        <v>80</v>
      </c>
      <c r="B38" s="1" t="s">
        <v>81</v>
      </c>
      <c r="C38" s="1" t="s">
        <v>88</v>
      </c>
      <c r="D38" s="1" t="s">
        <v>87</v>
      </c>
    </row>
    <row r="39">
      <c r="A39" s="1" t="s">
        <v>89</v>
      </c>
      <c r="B39" s="1" t="s">
        <v>90</v>
      </c>
      <c r="C39" s="1" t="s">
        <v>91</v>
      </c>
      <c r="D39" s="1" t="s">
        <v>92</v>
      </c>
    </row>
    <row r="40">
      <c r="A40" s="1" t="s">
        <v>89</v>
      </c>
      <c r="B40" s="1" t="s">
        <v>90</v>
      </c>
      <c r="C40" s="1" t="s">
        <v>93</v>
      </c>
      <c r="D40" s="1" t="s">
        <v>94</v>
      </c>
    </row>
    <row r="41">
      <c r="A41" s="1" t="s">
        <v>89</v>
      </c>
      <c r="B41" s="1" t="s">
        <v>90</v>
      </c>
      <c r="C41" s="1" t="s">
        <v>95</v>
      </c>
      <c r="D41" s="1" t="s">
        <v>96</v>
      </c>
    </row>
    <row r="42">
      <c r="A42" s="1" t="s">
        <v>89</v>
      </c>
      <c r="B42" s="1" t="s">
        <v>90</v>
      </c>
      <c r="C42" s="1" t="s">
        <v>97</v>
      </c>
      <c r="D42" s="1" t="s">
        <v>98</v>
      </c>
    </row>
    <row r="43">
      <c r="A43" s="1" t="s">
        <v>99</v>
      </c>
      <c r="B43" s="1" t="s">
        <v>23</v>
      </c>
      <c r="C43" s="1" t="s">
        <v>100</v>
      </c>
      <c r="D43" s="1" t="s">
        <v>101</v>
      </c>
    </row>
    <row r="44">
      <c r="A44" s="1" t="s">
        <v>99</v>
      </c>
      <c r="B44" s="1" t="s">
        <v>23</v>
      </c>
      <c r="C44" s="1" t="s">
        <v>102</v>
      </c>
      <c r="D44" s="1" t="s">
        <v>103</v>
      </c>
    </row>
    <row r="45">
      <c r="A45" s="1" t="s">
        <v>104</v>
      </c>
      <c r="B45" s="1" t="s">
        <v>90</v>
      </c>
      <c r="C45" s="1" t="s">
        <v>105</v>
      </c>
      <c r="D45" s="1" t="s">
        <v>106</v>
      </c>
    </row>
    <row r="46">
      <c r="A46" s="1" t="s">
        <v>104</v>
      </c>
      <c r="B46" s="1" t="s">
        <v>90</v>
      </c>
      <c r="C46" s="1" t="s">
        <v>107</v>
      </c>
      <c r="D46" s="1" t="s">
        <v>108</v>
      </c>
    </row>
    <row r="47">
      <c r="A47" s="1" t="s">
        <v>104</v>
      </c>
      <c r="B47" s="1" t="s">
        <v>90</v>
      </c>
      <c r="C47" s="1" t="s">
        <v>109</v>
      </c>
      <c r="D47" s="1" t="s">
        <v>110</v>
      </c>
    </row>
    <row r="48">
      <c r="A48" s="1" t="s">
        <v>111</v>
      </c>
      <c r="B48" s="1" t="s">
        <v>112</v>
      </c>
      <c r="C48" s="1" t="s">
        <v>113</v>
      </c>
      <c r="D48" s="1" t="s">
        <v>114</v>
      </c>
    </row>
    <row r="49">
      <c r="A49" s="1" t="s">
        <v>115</v>
      </c>
      <c r="B49" s="1" t="s">
        <v>116</v>
      </c>
      <c r="C49" s="1" t="s">
        <v>117</v>
      </c>
      <c r="D49" s="1" t="s">
        <v>118</v>
      </c>
    </row>
    <row r="50">
      <c r="A50" s="1" t="s">
        <v>115</v>
      </c>
      <c r="B50" s="1" t="s">
        <v>116</v>
      </c>
      <c r="C50" s="1" t="s">
        <v>119</v>
      </c>
      <c r="D50" s="1" t="s">
        <v>118</v>
      </c>
    </row>
    <row r="51">
      <c r="A51" s="1" t="s">
        <v>120</v>
      </c>
      <c r="B51" s="1" t="s">
        <v>116</v>
      </c>
      <c r="C51" s="1" t="s">
        <v>121</v>
      </c>
      <c r="D51" s="1" t="s">
        <v>122</v>
      </c>
    </row>
    <row r="52">
      <c r="A52" s="1" t="s">
        <v>120</v>
      </c>
      <c r="B52" s="1" t="s">
        <v>116</v>
      </c>
      <c r="C52" s="1" t="s">
        <v>123</v>
      </c>
      <c r="D52" s="1" t="s">
        <v>122</v>
      </c>
    </row>
    <row r="53">
      <c r="A53" s="1" t="s">
        <v>124</v>
      </c>
      <c r="B53" s="1" t="s">
        <v>125</v>
      </c>
      <c r="C53" s="1" t="s">
        <v>126</v>
      </c>
      <c r="D53" s="1" t="s">
        <v>127</v>
      </c>
    </row>
    <row r="54">
      <c r="A54" s="1" t="s">
        <v>124</v>
      </c>
      <c r="B54" s="1" t="s">
        <v>125</v>
      </c>
      <c r="C54" s="1" t="s">
        <v>128</v>
      </c>
      <c r="D54" s="1" t="s">
        <v>127</v>
      </c>
    </row>
    <row r="55">
      <c r="A55" s="1" t="s">
        <v>129</v>
      </c>
      <c r="B55" s="1" t="s">
        <v>130</v>
      </c>
      <c r="C55" s="1" t="s">
        <v>131</v>
      </c>
      <c r="D55" s="1" t="s">
        <v>132</v>
      </c>
    </row>
    <row r="56">
      <c r="A56" s="1" t="s">
        <v>129</v>
      </c>
      <c r="B56" s="1" t="s">
        <v>130</v>
      </c>
      <c r="C56" s="1" t="s">
        <v>133</v>
      </c>
      <c r="D56" s="1" t="s">
        <v>134</v>
      </c>
    </row>
    <row r="57">
      <c r="A57" s="1" t="s">
        <v>129</v>
      </c>
      <c r="B57" s="1" t="s">
        <v>130</v>
      </c>
      <c r="C57" s="1" t="s">
        <v>135</v>
      </c>
      <c r="D57" s="1" t="s">
        <v>136</v>
      </c>
    </row>
    <row r="58">
      <c r="A58" s="1" t="s">
        <v>129</v>
      </c>
      <c r="B58" s="1" t="s">
        <v>130</v>
      </c>
      <c r="C58" s="1" t="s">
        <v>137</v>
      </c>
      <c r="D58" s="1" t="s">
        <v>138</v>
      </c>
    </row>
    <row r="59">
      <c r="A59" s="1" t="s">
        <v>129</v>
      </c>
      <c r="B59" s="1" t="s">
        <v>130</v>
      </c>
      <c r="C59" s="1" t="s">
        <v>139</v>
      </c>
      <c r="D59" s="1" t="s">
        <v>140</v>
      </c>
    </row>
    <row r="60">
      <c r="A60" s="1" t="s">
        <v>141</v>
      </c>
      <c r="B60" s="1" t="s">
        <v>130</v>
      </c>
      <c r="C60" s="1" t="s">
        <v>142</v>
      </c>
      <c r="D60" s="1" t="s">
        <v>143</v>
      </c>
    </row>
    <row r="61">
      <c r="A61" s="1" t="s">
        <v>141</v>
      </c>
      <c r="B61" s="1" t="s">
        <v>130</v>
      </c>
      <c r="C61" s="1" t="s">
        <v>144</v>
      </c>
      <c r="D61" s="1" t="s">
        <v>143</v>
      </c>
    </row>
    <row r="62">
      <c r="A62" s="1" t="s">
        <v>141</v>
      </c>
      <c r="B62" s="1" t="s">
        <v>130</v>
      </c>
      <c r="C62" s="1" t="s">
        <v>145</v>
      </c>
      <c r="D62" s="1" t="s">
        <v>146</v>
      </c>
    </row>
    <row r="63">
      <c r="A63" s="1" t="s">
        <v>141</v>
      </c>
      <c r="B63" s="1" t="s">
        <v>130</v>
      </c>
      <c r="C63" s="1" t="s">
        <v>147</v>
      </c>
      <c r="D63" s="1" t="s">
        <v>146</v>
      </c>
    </row>
    <row r="64">
      <c r="A64" s="1" t="s">
        <v>141</v>
      </c>
      <c r="B64" s="1" t="s">
        <v>130</v>
      </c>
      <c r="C64" s="1" t="s">
        <v>148</v>
      </c>
      <c r="D64" s="1" t="s">
        <v>149</v>
      </c>
    </row>
    <row r="65">
      <c r="A65" s="1" t="s">
        <v>141</v>
      </c>
      <c r="B65" s="1" t="s">
        <v>130</v>
      </c>
      <c r="C65" s="1" t="s">
        <v>150</v>
      </c>
      <c r="D65" s="1" t="s">
        <v>151</v>
      </c>
    </row>
    <row r="66">
      <c r="A66" s="1" t="s">
        <v>141</v>
      </c>
      <c r="B66" s="1" t="s">
        <v>130</v>
      </c>
      <c r="C66" s="1" t="s">
        <v>152</v>
      </c>
      <c r="D66" s="1" t="s">
        <v>153</v>
      </c>
    </row>
    <row r="67">
      <c r="A67" s="1" t="s">
        <v>154</v>
      </c>
      <c r="B67" s="1" t="s">
        <v>130</v>
      </c>
      <c r="C67" s="1" t="s">
        <v>155</v>
      </c>
      <c r="D67" s="1" t="s">
        <v>156</v>
      </c>
    </row>
    <row r="68">
      <c r="A68" s="1" t="s">
        <v>154</v>
      </c>
      <c r="B68" s="1" t="s">
        <v>130</v>
      </c>
      <c r="C68" s="1" t="s">
        <v>157</v>
      </c>
      <c r="D68" s="1" t="s">
        <v>158</v>
      </c>
    </row>
    <row r="69">
      <c r="A69" s="1" t="s">
        <v>154</v>
      </c>
      <c r="B69" s="1" t="s">
        <v>130</v>
      </c>
      <c r="C69" s="1" t="s">
        <v>159</v>
      </c>
      <c r="D69" s="1" t="s">
        <v>160</v>
      </c>
    </row>
    <row r="70">
      <c r="A70" s="1" t="s">
        <v>154</v>
      </c>
      <c r="B70" s="1" t="s">
        <v>130</v>
      </c>
      <c r="C70" s="1" t="s">
        <v>161</v>
      </c>
      <c r="D70" s="1" t="s">
        <v>162</v>
      </c>
    </row>
    <row r="71">
      <c r="A71" s="1" t="s">
        <v>154</v>
      </c>
      <c r="B71" s="1" t="s">
        <v>130</v>
      </c>
      <c r="C71" s="1" t="s">
        <v>163</v>
      </c>
      <c r="D71" s="1" t="s">
        <v>162</v>
      </c>
    </row>
    <row r="72">
      <c r="A72" s="1" t="s">
        <v>154</v>
      </c>
      <c r="B72" s="1" t="s">
        <v>130</v>
      </c>
      <c r="C72" s="1" t="s">
        <v>164</v>
      </c>
      <c r="D72" s="1" t="s">
        <v>165</v>
      </c>
    </row>
    <row r="73">
      <c r="A73" s="1" t="s">
        <v>166</v>
      </c>
      <c r="B73" s="1" t="s">
        <v>167</v>
      </c>
      <c r="C73" s="1" t="s">
        <v>168</v>
      </c>
      <c r="D73" s="1" t="s">
        <v>169</v>
      </c>
    </row>
    <row r="74">
      <c r="A74" s="1" t="s">
        <v>166</v>
      </c>
      <c r="B74" s="1" t="s">
        <v>167</v>
      </c>
      <c r="C74" s="1" t="s">
        <v>170</v>
      </c>
      <c r="D74" s="1" t="s">
        <v>171</v>
      </c>
    </row>
    <row r="75">
      <c r="A75" s="1" t="s">
        <v>166</v>
      </c>
      <c r="B75" s="1" t="s">
        <v>167</v>
      </c>
      <c r="C75" s="1" t="s">
        <v>172</v>
      </c>
      <c r="D75" s="1" t="s">
        <v>171</v>
      </c>
    </row>
    <row r="76">
      <c r="A76" s="1" t="s">
        <v>173</v>
      </c>
      <c r="B76" s="1" t="s">
        <v>174</v>
      </c>
      <c r="C76" s="1" t="s">
        <v>175</v>
      </c>
      <c r="D76" s="1" t="s">
        <v>176</v>
      </c>
    </row>
    <row r="77">
      <c r="A77" s="1" t="s">
        <v>177</v>
      </c>
      <c r="B77" s="1" t="s">
        <v>167</v>
      </c>
      <c r="C77" s="1" t="s">
        <v>178</v>
      </c>
      <c r="D77" s="1" t="s">
        <v>179</v>
      </c>
    </row>
    <row r="78">
      <c r="A78" s="1" t="s">
        <v>177</v>
      </c>
      <c r="B78" s="1" t="s">
        <v>167</v>
      </c>
      <c r="C78" s="1" t="s">
        <v>180</v>
      </c>
      <c r="D78" s="1" t="s">
        <v>181</v>
      </c>
    </row>
    <row r="79">
      <c r="A79" s="1" t="s">
        <v>177</v>
      </c>
      <c r="B79" s="1" t="s">
        <v>167</v>
      </c>
      <c r="C79" s="1" t="s">
        <v>182</v>
      </c>
      <c r="D79" s="1" t="s">
        <v>181</v>
      </c>
    </row>
    <row r="80">
      <c r="A80" s="1" t="s">
        <v>183</v>
      </c>
      <c r="B80" s="1" t="s">
        <v>184</v>
      </c>
      <c r="C80" s="1" t="s">
        <v>185</v>
      </c>
      <c r="D80" s="1" t="s">
        <v>186</v>
      </c>
    </row>
    <row r="81">
      <c r="A81" s="1" t="s">
        <v>187</v>
      </c>
      <c r="B81" s="1" t="s">
        <v>184</v>
      </c>
      <c r="C81" s="1" t="s">
        <v>188</v>
      </c>
      <c r="D81" s="1" t="s">
        <v>189</v>
      </c>
    </row>
    <row r="82">
      <c r="A82" s="1" t="s">
        <v>187</v>
      </c>
      <c r="B82" s="1" t="s">
        <v>184</v>
      </c>
      <c r="C82" s="1" t="s">
        <v>190</v>
      </c>
      <c r="D82" s="1" t="s">
        <v>191</v>
      </c>
    </row>
    <row r="83">
      <c r="A83" s="1" t="s">
        <v>187</v>
      </c>
      <c r="B83" s="1" t="s">
        <v>184</v>
      </c>
      <c r="C83" s="1" t="s">
        <v>192</v>
      </c>
      <c r="D83" s="1" t="s">
        <v>193</v>
      </c>
    </row>
    <row r="84">
      <c r="A84" s="1" t="s">
        <v>194</v>
      </c>
      <c r="B84" s="1" t="s">
        <v>195</v>
      </c>
      <c r="C84" s="1" t="s">
        <v>196</v>
      </c>
      <c r="D84" s="1" t="s">
        <v>197</v>
      </c>
    </row>
    <row r="85">
      <c r="A85" s="1" t="s">
        <v>194</v>
      </c>
      <c r="B85" s="1" t="s">
        <v>195</v>
      </c>
      <c r="C85" s="1" t="s">
        <v>198</v>
      </c>
      <c r="D85" s="1" t="s">
        <v>199</v>
      </c>
    </row>
    <row r="86">
      <c r="A86" s="1" t="s">
        <v>194</v>
      </c>
      <c r="B86" s="1" t="s">
        <v>195</v>
      </c>
      <c r="C86" s="1" t="s">
        <v>200</v>
      </c>
      <c r="D86" s="1" t="s">
        <v>201</v>
      </c>
    </row>
    <row r="87">
      <c r="A87" s="1" t="s">
        <v>194</v>
      </c>
      <c r="B87" s="1" t="s">
        <v>195</v>
      </c>
      <c r="C87" s="1" t="s">
        <v>202</v>
      </c>
      <c r="D87" s="1" t="s">
        <v>201</v>
      </c>
    </row>
    <row r="88">
      <c r="A88" s="1" t="s">
        <v>203</v>
      </c>
      <c r="B88" s="1" t="s">
        <v>195</v>
      </c>
      <c r="C88" s="1" t="s">
        <v>204</v>
      </c>
      <c r="D88" s="1" t="s">
        <v>205</v>
      </c>
    </row>
    <row r="89">
      <c r="A89" s="1" t="s">
        <v>203</v>
      </c>
      <c r="B89" s="1" t="s">
        <v>195</v>
      </c>
      <c r="C89" s="1" t="s">
        <v>206</v>
      </c>
      <c r="D89" s="1" t="s">
        <v>207</v>
      </c>
    </row>
    <row r="90">
      <c r="A90" s="1" t="s">
        <v>203</v>
      </c>
      <c r="B90" s="1" t="s">
        <v>195</v>
      </c>
      <c r="C90" s="1" t="s">
        <v>208</v>
      </c>
      <c r="D90" s="1" t="s">
        <v>209</v>
      </c>
    </row>
    <row r="91">
      <c r="A91" s="1" t="s">
        <v>210</v>
      </c>
      <c r="B91" s="1" t="s">
        <v>195</v>
      </c>
      <c r="C91" s="1" t="s">
        <v>211</v>
      </c>
      <c r="D91" s="1" t="s">
        <v>212</v>
      </c>
    </row>
    <row r="92">
      <c r="A92" s="1" t="s">
        <v>210</v>
      </c>
      <c r="B92" s="1" t="s">
        <v>195</v>
      </c>
      <c r="C92" s="1" t="s">
        <v>213</v>
      </c>
      <c r="D92" s="1" t="s">
        <v>214</v>
      </c>
    </row>
    <row r="93">
      <c r="A93" s="1" t="s">
        <v>210</v>
      </c>
      <c r="B93" s="1" t="s">
        <v>195</v>
      </c>
      <c r="C93" s="1" t="s">
        <v>215</v>
      </c>
      <c r="D93" s="1" t="s">
        <v>216</v>
      </c>
    </row>
    <row r="94">
      <c r="A94" s="1" t="s">
        <v>217</v>
      </c>
      <c r="B94" s="1" t="s">
        <v>195</v>
      </c>
      <c r="C94" s="1" t="s">
        <v>218</v>
      </c>
      <c r="D94" s="1" t="s">
        <v>219</v>
      </c>
    </row>
    <row r="95">
      <c r="A95" s="1" t="s">
        <v>217</v>
      </c>
      <c r="B95" s="1" t="s">
        <v>195</v>
      </c>
      <c r="C95" s="1" t="s">
        <v>220</v>
      </c>
      <c r="D95" s="1" t="s">
        <v>219</v>
      </c>
    </row>
    <row r="96">
      <c r="A96" s="1" t="s">
        <v>221</v>
      </c>
      <c r="B96" s="1" t="s">
        <v>222</v>
      </c>
      <c r="C96" s="1" t="s">
        <v>223</v>
      </c>
      <c r="D96" s="1" t="s">
        <v>224</v>
      </c>
    </row>
    <row r="97">
      <c r="A97" s="1" t="s">
        <v>221</v>
      </c>
      <c r="B97" s="1" t="s">
        <v>222</v>
      </c>
      <c r="C97" s="1" t="s">
        <v>225</v>
      </c>
      <c r="D97" s="1" t="s">
        <v>224</v>
      </c>
    </row>
    <row r="98">
      <c r="A98" s="1" t="s">
        <v>226</v>
      </c>
      <c r="B98" s="1" t="s">
        <v>227</v>
      </c>
      <c r="C98" s="1" t="s">
        <v>228</v>
      </c>
      <c r="D98" s="1" t="s">
        <v>229</v>
      </c>
    </row>
    <row r="99">
      <c r="A99" s="1" t="s">
        <v>230</v>
      </c>
      <c r="B99" s="1" t="s">
        <v>227</v>
      </c>
      <c r="C99" s="1" t="s">
        <v>231</v>
      </c>
      <c r="D99" s="1" t="s">
        <v>232</v>
      </c>
    </row>
    <row r="100">
      <c r="A100" s="1" t="s">
        <v>233</v>
      </c>
      <c r="B100" s="1" t="s">
        <v>227</v>
      </c>
      <c r="C100" s="1" t="s">
        <v>234</v>
      </c>
      <c r="D100" s="1" t="s">
        <v>235</v>
      </c>
    </row>
    <row r="101">
      <c r="A101" s="1" t="s">
        <v>233</v>
      </c>
      <c r="B101" s="1" t="s">
        <v>227</v>
      </c>
      <c r="C101" s="1" t="s">
        <v>236</v>
      </c>
      <c r="D101" s="1" t="s">
        <v>235</v>
      </c>
    </row>
    <row r="102">
      <c r="A102" s="1" t="s">
        <v>233</v>
      </c>
      <c r="B102" s="1" t="s">
        <v>227</v>
      </c>
      <c r="C102" s="1" t="s">
        <v>237</v>
      </c>
      <c r="D102" s="1" t="s">
        <v>238</v>
      </c>
    </row>
    <row r="103">
      <c r="A103" s="1" t="s">
        <v>239</v>
      </c>
      <c r="B103" s="1" t="s">
        <v>227</v>
      </c>
      <c r="C103" s="1" t="s">
        <v>240</v>
      </c>
      <c r="D103" s="1" t="s">
        <v>241</v>
      </c>
    </row>
    <row r="104">
      <c r="A104" s="1" t="s">
        <v>239</v>
      </c>
      <c r="B104" s="1" t="s">
        <v>227</v>
      </c>
      <c r="C104" s="1" t="s">
        <v>242</v>
      </c>
      <c r="D104" s="1" t="s">
        <v>243</v>
      </c>
    </row>
    <row r="105">
      <c r="A105" s="1" t="s">
        <v>239</v>
      </c>
      <c r="B105" s="1" t="s">
        <v>227</v>
      </c>
      <c r="C105" s="1" t="s">
        <v>244</v>
      </c>
      <c r="D105" s="1" t="s">
        <v>243</v>
      </c>
    </row>
    <row r="106">
      <c r="A106" s="1" t="s">
        <v>245</v>
      </c>
      <c r="B106" s="1" t="s">
        <v>246</v>
      </c>
      <c r="C106" s="1" t="s">
        <v>247</v>
      </c>
      <c r="D106" s="1" t="s">
        <v>248</v>
      </c>
    </row>
    <row r="107">
      <c r="A107" s="1" t="s">
        <v>249</v>
      </c>
      <c r="B107" s="1" t="s">
        <v>246</v>
      </c>
      <c r="C107" s="1" t="s">
        <v>250</v>
      </c>
      <c r="D107" s="1" t="s">
        <v>251</v>
      </c>
    </row>
    <row r="108">
      <c r="A108" s="1" t="s">
        <v>249</v>
      </c>
      <c r="B108" s="1" t="s">
        <v>246</v>
      </c>
      <c r="C108" s="1" t="s">
        <v>252</v>
      </c>
      <c r="D108" s="1" t="s">
        <v>253</v>
      </c>
    </row>
    <row r="109">
      <c r="A109" s="1" t="s">
        <v>254</v>
      </c>
      <c r="B109" s="1" t="s">
        <v>246</v>
      </c>
      <c r="C109" s="1" t="s">
        <v>255</v>
      </c>
      <c r="D109" s="1" t="s">
        <v>256</v>
      </c>
    </row>
    <row r="110">
      <c r="A110" s="1" t="s">
        <v>257</v>
      </c>
      <c r="B110" s="1" t="s">
        <v>258</v>
      </c>
      <c r="C110" s="1" t="s">
        <v>259</v>
      </c>
      <c r="D110" s="1" t="s">
        <v>260</v>
      </c>
    </row>
    <row r="111">
      <c r="A111" s="1" t="s">
        <v>261</v>
      </c>
      <c r="B111" s="1" t="s">
        <v>258</v>
      </c>
      <c r="C111" s="1" t="s">
        <v>262</v>
      </c>
      <c r="D111" s="1" t="s">
        <v>263</v>
      </c>
    </row>
    <row r="112">
      <c r="A112" s="1" t="s">
        <v>264</v>
      </c>
      <c r="B112" s="1" t="s">
        <v>258</v>
      </c>
      <c r="C112" s="1" t="s">
        <v>265</v>
      </c>
      <c r="D112" s="1" t="s">
        <v>266</v>
      </c>
    </row>
    <row r="113">
      <c r="A113" s="1" t="s">
        <v>264</v>
      </c>
      <c r="B113" s="1" t="s">
        <v>258</v>
      </c>
      <c r="C113" s="1" t="s">
        <v>267</v>
      </c>
      <c r="D113" s="1" t="s">
        <v>268</v>
      </c>
    </row>
    <row r="114">
      <c r="A114" s="1" t="s">
        <v>264</v>
      </c>
      <c r="B114" s="1" t="s">
        <v>258</v>
      </c>
      <c r="C114" s="1" t="s">
        <v>269</v>
      </c>
      <c r="D114" s="1" t="s">
        <v>268</v>
      </c>
    </row>
    <row r="115">
      <c r="A115" s="1" t="s">
        <v>270</v>
      </c>
      <c r="B115" s="1" t="s">
        <v>271</v>
      </c>
      <c r="C115" s="1" t="s">
        <v>272</v>
      </c>
      <c r="D115" s="1" t="s">
        <v>273</v>
      </c>
    </row>
    <row r="116">
      <c r="A116" s="1" t="s">
        <v>274</v>
      </c>
      <c r="B116" s="1" t="s">
        <v>271</v>
      </c>
      <c r="C116" s="1" t="s">
        <v>275</v>
      </c>
      <c r="D116" s="1" t="s">
        <v>276</v>
      </c>
    </row>
    <row r="117">
      <c r="A117" s="1" t="s">
        <v>277</v>
      </c>
      <c r="B117" s="1" t="s">
        <v>278</v>
      </c>
      <c r="C117" s="1" t="s">
        <v>279</v>
      </c>
      <c r="D117" s="1" t="s">
        <v>280</v>
      </c>
    </row>
    <row r="118">
      <c r="A118" s="1" t="s">
        <v>281</v>
      </c>
      <c r="B118" s="1" t="s">
        <v>278</v>
      </c>
      <c r="C118" s="1" t="s">
        <v>282</v>
      </c>
      <c r="D118" s="1" t="s">
        <v>283</v>
      </c>
    </row>
    <row r="119">
      <c r="A119" s="1" t="s">
        <v>284</v>
      </c>
      <c r="B119" s="1" t="s">
        <v>285</v>
      </c>
      <c r="C119" s="1" t="s">
        <v>286</v>
      </c>
      <c r="D119" s="1" t="s">
        <v>287</v>
      </c>
    </row>
    <row r="120">
      <c r="A120" s="1" t="s">
        <v>284</v>
      </c>
      <c r="B120" s="1" t="s">
        <v>285</v>
      </c>
      <c r="C120" s="1" t="s">
        <v>288</v>
      </c>
      <c r="D120" s="1" t="s">
        <v>289</v>
      </c>
    </row>
    <row r="121">
      <c r="A121" s="1" t="s">
        <v>284</v>
      </c>
      <c r="B121" s="1" t="s">
        <v>285</v>
      </c>
      <c r="C121" s="1" t="s">
        <v>290</v>
      </c>
      <c r="D121" s="1" t="s">
        <v>291</v>
      </c>
    </row>
    <row r="122">
      <c r="A122" s="1" t="s">
        <v>284</v>
      </c>
      <c r="B122" s="1" t="s">
        <v>285</v>
      </c>
      <c r="C122" s="1" t="s">
        <v>292</v>
      </c>
      <c r="D122" s="1" t="s">
        <v>293</v>
      </c>
    </row>
    <row r="123">
      <c r="A123" s="1" t="s">
        <v>294</v>
      </c>
      <c r="B123" s="1" t="s">
        <v>285</v>
      </c>
      <c r="C123" s="1" t="s">
        <v>295</v>
      </c>
      <c r="D123" s="1" t="s">
        <v>296</v>
      </c>
    </row>
    <row r="124">
      <c r="A124" s="1" t="s">
        <v>294</v>
      </c>
      <c r="B124" s="1" t="s">
        <v>285</v>
      </c>
      <c r="C124" s="1" t="s">
        <v>297</v>
      </c>
      <c r="D124" s="1" t="s">
        <v>298</v>
      </c>
    </row>
    <row r="125">
      <c r="A125" s="1" t="s">
        <v>299</v>
      </c>
      <c r="B125" s="1" t="s">
        <v>285</v>
      </c>
      <c r="C125" s="1" t="s">
        <v>300</v>
      </c>
      <c r="D125" s="1" t="s">
        <v>301</v>
      </c>
    </row>
    <row r="126">
      <c r="A126" s="1" t="s">
        <v>299</v>
      </c>
      <c r="B126" s="1" t="s">
        <v>285</v>
      </c>
      <c r="C126" s="1" t="s">
        <v>302</v>
      </c>
      <c r="D126" s="1" t="s">
        <v>303</v>
      </c>
    </row>
    <row r="127">
      <c r="A127" s="1" t="s">
        <v>299</v>
      </c>
      <c r="B127" s="1" t="s">
        <v>285</v>
      </c>
      <c r="C127" s="1" t="s">
        <v>304</v>
      </c>
      <c r="D127" s="1" t="s">
        <v>305</v>
      </c>
    </row>
    <row r="128">
      <c r="A128" s="1" t="s">
        <v>299</v>
      </c>
      <c r="B128" s="1" t="s">
        <v>285</v>
      </c>
      <c r="C128" s="1" t="s">
        <v>306</v>
      </c>
      <c r="D128" s="1" t="s">
        <v>307</v>
      </c>
    </row>
    <row r="129">
      <c r="A129" s="1" t="s">
        <v>308</v>
      </c>
      <c r="B129" s="1" t="s">
        <v>309</v>
      </c>
      <c r="C129" s="1" t="s">
        <v>310</v>
      </c>
      <c r="D129" s="1" t="s">
        <v>311</v>
      </c>
    </row>
    <row r="130">
      <c r="A130" s="1" t="s">
        <v>308</v>
      </c>
      <c r="B130" s="1" t="s">
        <v>309</v>
      </c>
      <c r="C130" s="1" t="s">
        <v>312</v>
      </c>
      <c r="D130" s="1" t="s">
        <v>311</v>
      </c>
    </row>
    <row r="131">
      <c r="A131" s="1" t="s">
        <v>313</v>
      </c>
      <c r="B131" s="1" t="s">
        <v>314</v>
      </c>
      <c r="C131" s="1" t="s">
        <v>315</v>
      </c>
      <c r="D131" s="1" t="s">
        <v>316</v>
      </c>
    </row>
    <row r="132">
      <c r="A132" s="1" t="s">
        <v>317</v>
      </c>
      <c r="B132" s="1" t="s">
        <v>314</v>
      </c>
      <c r="C132" s="1" t="s">
        <v>318</v>
      </c>
      <c r="D132" s="1" t="s">
        <v>319</v>
      </c>
    </row>
    <row r="133">
      <c r="A133" s="1" t="s">
        <v>317</v>
      </c>
      <c r="B133" s="1" t="s">
        <v>314</v>
      </c>
      <c r="C133" s="1" t="s">
        <v>320</v>
      </c>
      <c r="D133" s="1" t="s">
        <v>321</v>
      </c>
    </row>
    <row r="134">
      <c r="A134" s="1" t="s">
        <v>322</v>
      </c>
      <c r="B134" s="1" t="s">
        <v>314</v>
      </c>
      <c r="C134" s="1" t="s">
        <v>323</v>
      </c>
      <c r="D134" s="1" t="s">
        <v>324</v>
      </c>
    </row>
    <row r="135">
      <c r="A135" s="1" t="s">
        <v>325</v>
      </c>
      <c r="B135" s="1" t="s">
        <v>326</v>
      </c>
      <c r="C135" s="1" t="s">
        <v>327</v>
      </c>
      <c r="D135" s="1" t="s">
        <v>328</v>
      </c>
    </row>
    <row r="136">
      <c r="A136" s="1" t="s">
        <v>325</v>
      </c>
      <c r="B136" s="1" t="s">
        <v>326</v>
      </c>
      <c r="C136" s="1" t="s">
        <v>329</v>
      </c>
      <c r="D136" s="1" t="s">
        <v>328</v>
      </c>
    </row>
    <row r="137">
      <c r="A137" s="1" t="s">
        <v>325</v>
      </c>
      <c r="B137" s="1" t="s">
        <v>326</v>
      </c>
      <c r="C137" s="1" t="s">
        <v>330</v>
      </c>
      <c r="D137" s="1" t="s">
        <v>328</v>
      </c>
    </row>
    <row r="138">
      <c r="A138" s="1" t="s">
        <v>331</v>
      </c>
      <c r="B138" s="1" t="s">
        <v>332</v>
      </c>
      <c r="C138" s="1" t="s">
        <v>333</v>
      </c>
      <c r="D138" s="1" t="s">
        <v>334</v>
      </c>
    </row>
    <row r="139">
      <c r="A139" s="1" t="s">
        <v>331</v>
      </c>
      <c r="B139" s="1" t="s">
        <v>332</v>
      </c>
      <c r="C139" s="1" t="s">
        <v>335</v>
      </c>
      <c r="D139" s="1" t="s">
        <v>334</v>
      </c>
    </row>
    <row r="140">
      <c r="A140" s="1" t="s">
        <v>336</v>
      </c>
      <c r="B140" s="1" t="s">
        <v>337</v>
      </c>
      <c r="C140" s="1" t="s">
        <v>338</v>
      </c>
      <c r="D140" s="1" t="s">
        <v>339</v>
      </c>
    </row>
    <row r="141">
      <c r="A141" s="1" t="s">
        <v>336</v>
      </c>
      <c r="B141" s="1" t="s">
        <v>337</v>
      </c>
      <c r="C141" s="1" t="s">
        <v>340</v>
      </c>
      <c r="D141" s="1" t="s">
        <v>339</v>
      </c>
    </row>
    <row r="142">
      <c r="A142" s="1" t="s">
        <v>341</v>
      </c>
      <c r="B142" s="1" t="s">
        <v>337</v>
      </c>
      <c r="C142" s="1" t="s">
        <v>342</v>
      </c>
      <c r="D142" s="1" t="s">
        <v>343</v>
      </c>
    </row>
    <row r="143">
      <c r="A143" s="1" t="s">
        <v>341</v>
      </c>
      <c r="B143" s="1" t="s">
        <v>337</v>
      </c>
      <c r="C143" s="1" t="s">
        <v>344</v>
      </c>
      <c r="D143" s="1" t="s">
        <v>345</v>
      </c>
    </row>
    <row r="144">
      <c r="A144" s="1" t="s">
        <v>346</v>
      </c>
      <c r="B144" s="1" t="s">
        <v>337</v>
      </c>
      <c r="C144" s="1" t="s">
        <v>347</v>
      </c>
      <c r="D144" s="1" t="s">
        <v>348</v>
      </c>
    </row>
    <row r="145">
      <c r="A145" s="1" t="s">
        <v>346</v>
      </c>
      <c r="B145" s="1" t="s">
        <v>337</v>
      </c>
      <c r="C145" s="1" t="s">
        <v>349</v>
      </c>
      <c r="D145" s="1" t="s">
        <v>348</v>
      </c>
    </row>
    <row r="146">
      <c r="A146" s="1" t="s">
        <v>346</v>
      </c>
      <c r="B146" s="1" t="s">
        <v>337</v>
      </c>
      <c r="C146" s="1" t="s">
        <v>350</v>
      </c>
      <c r="D146" s="1" t="s">
        <v>351</v>
      </c>
    </row>
    <row r="147">
      <c r="A147" s="1" t="s">
        <v>352</v>
      </c>
      <c r="B147" s="1" t="s">
        <v>337</v>
      </c>
      <c r="C147" s="1" t="s">
        <v>353</v>
      </c>
      <c r="D147" s="1" t="s">
        <v>354</v>
      </c>
    </row>
    <row r="148">
      <c r="A148" s="1" t="s">
        <v>352</v>
      </c>
      <c r="B148" s="1" t="s">
        <v>337</v>
      </c>
      <c r="C148" s="1" t="s">
        <v>355</v>
      </c>
      <c r="D148" s="1" t="s">
        <v>356</v>
      </c>
    </row>
    <row r="149">
      <c r="A149" s="1" t="s">
        <v>357</v>
      </c>
      <c r="B149" s="1" t="s">
        <v>337</v>
      </c>
      <c r="C149" s="1" t="s">
        <v>358</v>
      </c>
      <c r="D149" s="1" t="s">
        <v>359</v>
      </c>
    </row>
    <row r="150">
      <c r="A150" s="1" t="s">
        <v>360</v>
      </c>
      <c r="B150" s="1" t="s">
        <v>361</v>
      </c>
      <c r="C150" s="1" t="s">
        <v>362</v>
      </c>
      <c r="D150" s="1" t="s">
        <v>363</v>
      </c>
    </row>
    <row r="151">
      <c r="A151" s="1" t="s">
        <v>364</v>
      </c>
      <c r="B151" s="1" t="s">
        <v>361</v>
      </c>
      <c r="C151" s="1" t="s">
        <v>365</v>
      </c>
      <c r="D151" s="1" t="s">
        <v>366</v>
      </c>
    </row>
    <row r="152">
      <c r="A152" s="1" t="s">
        <v>367</v>
      </c>
      <c r="B152" s="1" t="s">
        <v>368</v>
      </c>
      <c r="C152" s="1" t="s">
        <v>369</v>
      </c>
      <c r="D152" s="1" t="s">
        <v>370</v>
      </c>
    </row>
    <row r="153">
      <c r="A153" s="1" t="s">
        <v>367</v>
      </c>
      <c r="B153" s="1" t="s">
        <v>368</v>
      </c>
      <c r="C153" s="1" t="s">
        <v>371</v>
      </c>
      <c r="D153" s="1" t="s">
        <v>372</v>
      </c>
    </row>
    <row r="154">
      <c r="A154" s="1" t="s">
        <v>373</v>
      </c>
      <c r="B154" s="1" t="s">
        <v>374</v>
      </c>
      <c r="C154" s="1" t="s">
        <v>375</v>
      </c>
      <c r="D154" s="1" t="s">
        <v>376</v>
      </c>
    </row>
    <row r="155">
      <c r="A155" s="1" t="s">
        <v>377</v>
      </c>
      <c r="B155" s="1" t="s">
        <v>378</v>
      </c>
      <c r="C155" s="1" t="s">
        <v>379</v>
      </c>
      <c r="D155" s="1" t="s">
        <v>380</v>
      </c>
    </row>
    <row r="156">
      <c r="A156" s="1" t="s">
        <v>377</v>
      </c>
      <c r="B156" s="1" t="s">
        <v>378</v>
      </c>
      <c r="C156" s="1" t="s">
        <v>381</v>
      </c>
      <c r="D156" s="1" t="s">
        <v>380</v>
      </c>
    </row>
    <row r="157">
      <c r="A157" s="1" t="s">
        <v>382</v>
      </c>
      <c r="B157" s="1" t="s">
        <v>383</v>
      </c>
      <c r="C157" s="1" t="s">
        <v>384</v>
      </c>
      <c r="D157" s="1" t="s">
        <v>385</v>
      </c>
    </row>
    <row r="158">
      <c r="A158" s="1" t="s">
        <v>386</v>
      </c>
      <c r="B158" s="1" t="s">
        <v>383</v>
      </c>
      <c r="C158" s="1" t="s">
        <v>387</v>
      </c>
      <c r="D158" s="1" t="s">
        <v>388</v>
      </c>
    </row>
    <row r="159">
      <c r="A159" s="1" t="s">
        <v>389</v>
      </c>
      <c r="B159" s="1" t="s">
        <v>383</v>
      </c>
      <c r="C159" s="1" t="s">
        <v>390</v>
      </c>
      <c r="D159" s="1" t="s">
        <v>388</v>
      </c>
    </row>
    <row r="160">
      <c r="A160" s="1" t="s">
        <v>391</v>
      </c>
      <c r="B160" s="1" t="s">
        <v>392</v>
      </c>
      <c r="C160" s="1" t="s">
        <v>393</v>
      </c>
      <c r="D160" s="1" t="s">
        <v>394</v>
      </c>
    </row>
    <row r="161">
      <c r="A161" s="1" t="s">
        <v>391</v>
      </c>
      <c r="B161" s="1" t="s">
        <v>392</v>
      </c>
      <c r="C161" s="1" t="s">
        <v>395</v>
      </c>
      <c r="D161" s="1" t="s">
        <v>396</v>
      </c>
    </row>
    <row r="162">
      <c r="A162" s="1" t="s">
        <v>391</v>
      </c>
      <c r="B162" s="1" t="s">
        <v>392</v>
      </c>
      <c r="C162" s="1" t="s">
        <v>397</v>
      </c>
      <c r="D162" s="1" t="s">
        <v>396</v>
      </c>
    </row>
    <row r="163">
      <c r="A163" s="1" t="s">
        <v>398</v>
      </c>
      <c r="B163" s="1" t="s">
        <v>392</v>
      </c>
      <c r="C163" s="1" t="s">
        <v>399</v>
      </c>
      <c r="D163" s="1" t="s">
        <v>400</v>
      </c>
    </row>
    <row r="164">
      <c r="A164" s="1" t="s">
        <v>398</v>
      </c>
      <c r="B164" s="1" t="s">
        <v>392</v>
      </c>
      <c r="C164" s="1" t="s">
        <v>401</v>
      </c>
      <c r="D164" s="1" t="s">
        <v>402</v>
      </c>
    </row>
    <row r="165">
      <c r="A165" s="1" t="s">
        <v>398</v>
      </c>
      <c r="B165" s="1" t="s">
        <v>392</v>
      </c>
      <c r="C165" s="1" t="s">
        <v>403</v>
      </c>
      <c r="D165" s="1" t="s">
        <v>404</v>
      </c>
    </row>
    <row r="166">
      <c r="A166" s="1" t="s">
        <v>405</v>
      </c>
      <c r="B166" s="1" t="s">
        <v>392</v>
      </c>
      <c r="C166" s="1" t="s">
        <v>406</v>
      </c>
      <c r="D166" s="1" t="s">
        <v>407</v>
      </c>
    </row>
    <row r="167">
      <c r="A167" s="1" t="s">
        <v>405</v>
      </c>
      <c r="B167" s="1" t="s">
        <v>392</v>
      </c>
      <c r="C167" s="1" t="s">
        <v>408</v>
      </c>
      <c r="D167" s="1" t="s">
        <v>409</v>
      </c>
    </row>
    <row r="168">
      <c r="A168" s="1" t="s">
        <v>405</v>
      </c>
      <c r="B168" s="1" t="s">
        <v>392</v>
      </c>
      <c r="C168" s="1" t="s">
        <v>410</v>
      </c>
      <c r="D168" s="1" t="s">
        <v>411</v>
      </c>
    </row>
    <row r="169">
      <c r="A169" s="1" t="s">
        <v>412</v>
      </c>
      <c r="B169" s="1" t="s">
        <v>413</v>
      </c>
      <c r="C169" s="1" t="s">
        <v>414</v>
      </c>
      <c r="D169" s="1" t="s">
        <v>415</v>
      </c>
    </row>
    <row r="170">
      <c r="A170" s="1" t="s">
        <v>412</v>
      </c>
      <c r="B170" s="1" t="s">
        <v>413</v>
      </c>
      <c r="C170" s="1" t="s">
        <v>416</v>
      </c>
      <c r="D170" s="1" t="s">
        <v>415</v>
      </c>
    </row>
    <row r="171">
      <c r="A171" s="1" t="s">
        <v>412</v>
      </c>
      <c r="B171" s="1" t="s">
        <v>413</v>
      </c>
      <c r="C171" s="1" t="s">
        <v>417</v>
      </c>
      <c r="D171" s="1" t="s">
        <v>418</v>
      </c>
    </row>
    <row r="172">
      <c r="A172" s="1" t="s">
        <v>412</v>
      </c>
      <c r="B172" s="1" t="s">
        <v>413</v>
      </c>
      <c r="C172" s="1" t="s">
        <v>419</v>
      </c>
      <c r="D172" s="1" t="s">
        <v>418</v>
      </c>
    </row>
    <row r="173">
      <c r="A173" s="1" t="s">
        <v>412</v>
      </c>
      <c r="B173" s="1" t="s">
        <v>413</v>
      </c>
      <c r="C173" s="1" t="s">
        <v>420</v>
      </c>
      <c r="D173" s="1" t="s">
        <v>418</v>
      </c>
    </row>
    <row r="174">
      <c r="A174" s="1" t="s">
        <v>421</v>
      </c>
      <c r="B174" s="1" t="s">
        <v>413</v>
      </c>
      <c r="C174" s="1" t="s">
        <v>422</v>
      </c>
      <c r="D174" s="1" t="s">
        <v>423</v>
      </c>
    </row>
    <row r="175">
      <c r="A175" s="1" t="s">
        <v>421</v>
      </c>
      <c r="B175" s="1" t="s">
        <v>413</v>
      </c>
      <c r="C175" s="1" t="s">
        <v>424</v>
      </c>
      <c r="D175" s="1" t="s">
        <v>423</v>
      </c>
    </row>
    <row r="176">
      <c r="A176" s="1" t="s">
        <v>421</v>
      </c>
      <c r="B176" s="1" t="s">
        <v>413</v>
      </c>
      <c r="C176" s="1" t="s">
        <v>425</v>
      </c>
      <c r="D176" s="1" t="s">
        <v>423</v>
      </c>
    </row>
    <row r="177">
      <c r="A177" s="1" t="s">
        <v>421</v>
      </c>
      <c r="B177" s="1" t="s">
        <v>413</v>
      </c>
      <c r="C177" s="1" t="s">
        <v>426</v>
      </c>
      <c r="D177" s="1" t="s">
        <v>423</v>
      </c>
    </row>
    <row r="178">
      <c r="A178" s="1" t="s">
        <v>421</v>
      </c>
      <c r="B178" s="1" t="s">
        <v>413</v>
      </c>
      <c r="C178" s="1" t="s">
        <v>427</v>
      </c>
      <c r="D178" s="1" t="s">
        <v>428</v>
      </c>
    </row>
    <row r="179">
      <c r="A179" s="1" t="s">
        <v>421</v>
      </c>
      <c r="B179" s="1" t="s">
        <v>413</v>
      </c>
      <c r="C179" s="1" t="s">
        <v>429</v>
      </c>
      <c r="D179" s="1" t="s">
        <v>428</v>
      </c>
    </row>
    <row r="180">
      <c r="A180" s="1" t="s">
        <v>430</v>
      </c>
      <c r="B180" s="1" t="s">
        <v>413</v>
      </c>
      <c r="C180" s="1" t="s">
        <v>431</v>
      </c>
      <c r="D180" s="1" t="s">
        <v>432</v>
      </c>
    </row>
    <row r="181">
      <c r="A181" s="1" t="s">
        <v>430</v>
      </c>
      <c r="B181" s="1" t="s">
        <v>413</v>
      </c>
      <c r="C181" s="1" t="s">
        <v>433</v>
      </c>
      <c r="D181" s="1" t="s">
        <v>432</v>
      </c>
    </row>
    <row r="182">
      <c r="A182" s="1" t="s">
        <v>430</v>
      </c>
      <c r="B182" s="1" t="s">
        <v>413</v>
      </c>
      <c r="C182" s="1" t="s">
        <v>434</v>
      </c>
      <c r="D182" s="1" t="s">
        <v>435</v>
      </c>
    </row>
    <row r="183">
      <c r="A183" s="1" t="s">
        <v>430</v>
      </c>
      <c r="B183" s="1" t="s">
        <v>413</v>
      </c>
      <c r="C183" s="1" t="s">
        <v>436</v>
      </c>
      <c r="D183" s="1" t="s">
        <v>432</v>
      </c>
    </row>
    <row r="184">
      <c r="A184" s="1" t="s">
        <v>430</v>
      </c>
      <c r="B184" s="1" t="s">
        <v>413</v>
      </c>
      <c r="C184" s="1" t="s">
        <v>437</v>
      </c>
      <c r="D184" s="1" t="s">
        <v>432</v>
      </c>
    </row>
    <row r="185">
      <c r="A185" s="1" t="s">
        <v>438</v>
      </c>
      <c r="B185" s="1" t="s">
        <v>439</v>
      </c>
      <c r="C185" s="1" t="s">
        <v>440</v>
      </c>
      <c r="D185" s="1" t="s">
        <v>441</v>
      </c>
    </row>
    <row r="186">
      <c r="A186" s="1" t="s">
        <v>438</v>
      </c>
      <c r="B186" s="1" t="s">
        <v>439</v>
      </c>
      <c r="C186" s="1" t="s">
        <v>442</v>
      </c>
      <c r="D186" s="1" t="s">
        <v>441</v>
      </c>
    </row>
    <row r="187">
      <c r="A187" s="1" t="s">
        <v>443</v>
      </c>
      <c r="B187" s="1" t="s">
        <v>444</v>
      </c>
      <c r="C187" s="1" t="s">
        <v>445</v>
      </c>
      <c r="D187" s="1" t="s">
        <v>446</v>
      </c>
    </row>
    <row r="188">
      <c r="A188" s="1" t="s">
        <v>443</v>
      </c>
      <c r="B188" s="1" t="s">
        <v>444</v>
      </c>
      <c r="C188" s="1" t="s">
        <v>447</v>
      </c>
      <c r="D188" s="1" t="s">
        <v>448</v>
      </c>
    </row>
    <row r="189">
      <c r="A189" s="1" t="s">
        <v>449</v>
      </c>
      <c r="B189" s="1" t="s">
        <v>450</v>
      </c>
      <c r="C189" s="1" t="s">
        <v>451</v>
      </c>
      <c r="D189" s="1" t="s">
        <v>452</v>
      </c>
    </row>
    <row r="190">
      <c r="A190" s="1" t="s">
        <v>449</v>
      </c>
      <c r="B190" s="1" t="s">
        <v>450</v>
      </c>
      <c r="C190" s="1" t="s">
        <v>453</v>
      </c>
      <c r="D190" s="1" t="s">
        <v>454</v>
      </c>
    </row>
    <row r="191">
      <c r="A191" s="1" t="s">
        <v>455</v>
      </c>
      <c r="B191" s="1" t="s">
        <v>450</v>
      </c>
      <c r="C191" s="1" t="s">
        <v>456</v>
      </c>
      <c r="D191" s="1" t="s">
        <v>457</v>
      </c>
    </row>
    <row r="192">
      <c r="A192" s="1" t="s">
        <v>455</v>
      </c>
      <c r="B192" s="1" t="s">
        <v>450</v>
      </c>
      <c r="C192" s="1" t="s">
        <v>458</v>
      </c>
      <c r="D192" s="1" t="s">
        <v>457</v>
      </c>
    </row>
    <row r="193">
      <c r="A193" s="1" t="s">
        <v>459</v>
      </c>
      <c r="B193" s="1" t="s">
        <v>460</v>
      </c>
      <c r="C193" s="1" t="s">
        <v>461</v>
      </c>
      <c r="D193" s="1" t="s">
        <v>462</v>
      </c>
    </row>
    <row r="194">
      <c r="A194" s="1" t="s">
        <v>459</v>
      </c>
      <c r="B194" s="1" t="s">
        <v>460</v>
      </c>
      <c r="C194" s="1" t="s">
        <v>463</v>
      </c>
      <c r="D194" s="1" t="s">
        <v>462</v>
      </c>
    </row>
    <row r="195">
      <c r="A195" s="1" t="s">
        <v>464</v>
      </c>
      <c r="B195" s="1" t="s">
        <v>465</v>
      </c>
      <c r="C195" s="1" t="s">
        <v>466</v>
      </c>
      <c r="D195" s="1" t="s">
        <v>467</v>
      </c>
    </row>
    <row r="196">
      <c r="A196" s="1" t="s">
        <v>464</v>
      </c>
      <c r="B196" s="1" t="s">
        <v>465</v>
      </c>
      <c r="C196" s="1" t="s">
        <v>468</v>
      </c>
      <c r="D196" s="1" t="s">
        <v>467</v>
      </c>
    </row>
    <row r="197">
      <c r="A197" s="1" t="s">
        <v>469</v>
      </c>
      <c r="B197" s="1" t="s">
        <v>465</v>
      </c>
      <c r="C197" s="1" t="s">
        <v>470</v>
      </c>
      <c r="D197" s="1" t="s">
        <v>471</v>
      </c>
    </row>
    <row r="198">
      <c r="A198" s="1" t="s">
        <v>469</v>
      </c>
      <c r="B198" s="1" t="s">
        <v>465</v>
      </c>
      <c r="C198" s="1" t="s">
        <v>472</v>
      </c>
      <c r="D198" s="1" t="s">
        <v>471</v>
      </c>
    </row>
    <row r="199">
      <c r="A199" s="1" t="s">
        <v>473</v>
      </c>
      <c r="B199" s="1" t="s">
        <v>474</v>
      </c>
      <c r="C199" s="1" t="s">
        <v>475</v>
      </c>
      <c r="D199" s="1" t="s">
        <v>476</v>
      </c>
    </row>
    <row r="200">
      <c r="A200" s="1" t="s">
        <v>473</v>
      </c>
      <c r="B200" s="1" t="s">
        <v>474</v>
      </c>
      <c r="C200" s="1" t="s">
        <v>477</v>
      </c>
      <c r="D200" s="1" t="s">
        <v>476</v>
      </c>
    </row>
    <row r="201">
      <c r="A201" s="1" t="s">
        <v>478</v>
      </c>
      <c r="B201" s="1" t="s">
        <v>474</v>
      </c>
      <c r="C201" s="1" t="s">
        <v>479</v>
      </c>
      <c r="D201" s="1" t="s">
        <v>480</v>
      </c>
    </row>
    <row r="202">
      <c r="A202" s="1" t="s">
        <v>478</v>
      </c>
      <c r="B202" s="1" t="s">
        <v>474</v>
      </c>
      <c r="C202" s="1" t="s">
        <v>481</v>
      </c>
      <c r="D202" s="1" t="s">
        <v>480</v>
      </c>
    </row>
    <row r="203">
      <c r="A203" s="1" t="s">
        <v>482</v>
      </c>
      <c r="B203" s="1" t="s">
        <v>474</v>
      </c>
      <c r="C203" s="1" t="s">
        <v>483</v>
      </c>
      <c r="D203" s="1" t="s">
        <v>484</v>
      </c>
    </row>
    <row r="204">
      <c r="A204" s="1" t="s">
        <v>482</v>
      </c>
      <c r="B204" s="1" t="s">
        <v>474</v>
      </c>
      <c r="C204" s="1" t="s">
        <v>485</v>
      </c>
      <c r="D204" s="1" t="s">
        <v>484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31.0"/>
    <col customWidth="1" min="3" max="5" width="6.0"/>
    <col customWidth="1" min="6" max="6" width="31.0"/>
    <col customWidth="1" min="7" max="9" width="6.0"/>
    <col customWidth="1" min="10" max="10" width="31.0"/>
  </cols>
  <sheetData>
    <row r="1">
      <c r="A1" s="1" t="s">
        <v>486</v>
      </c>
      <c r="B1" s="1" t="s">
        <v>486</v>
      </c>
      <c r="F1" s="1" t="s">
        <v>487</v>
      </c>
      <c r="J1" s="1" t="s">
        <v>488</v>
      </c>
    </row>
    <row r="2">
      <c r="A2" s="1" t="s">
        <v>489</v>
      </c>
      <c r="B2" s="2" t="str">
        <f>IFERROR(__xludf.DUMMYFUNCTION("SPLIT(A2, "","")"),"分野")</f>
        <v>分野</v>
      </c>
      <c r="C2" s="2" t="str">
        <f>IFERROR(__xludf.DUMMYFUNCTION("""COMPUTED_VALUE"""),"正答数")</f>
        <v>正答数</v>
      </c>
      <c r="D2" s="2" t="str">
        <f>IFERROR(__xludf.DUMMYFUNCTION("""COMPUTED_VALUE"""),"設問数")</f>
        <v>設問数</v>
      </c>
      <c r="E2" s="2" t="str">
        <f>IFERROR(__xludf.DUMMYFUNCTION("""COMPUTED_VALUE"""),"正答率")</f>
        <v>正答率</v>
      </c>
      <c r="F2" s="2" t="s">
        <v>490</v>
      </c>
      <c r="G2" s="2" t="s">
        <v>491</v>
      </c>
      <c r="H2" s="2" t="s">
        <v>492</v>
      </c>
      <c r="I2" s="2" t="s">
        <v>493</v>
      </c>
      <c r="J2" s="2" t="s">
        <v>490</v>
      </c>
      <c r="K2" s="2" t="s">
        <v>491</v>
      </c>
      <c r="L2" s="2" t="s">
        <v>492</v>
      </c>
      <c r="M2" s="2" t="s">
        <v>493</v>
      </c>
    </row>
    <row r="3">
      <c r="A3" s="1" t="s">
        <v>494</v>
      </c>
      <c r="B3" s="2" t="str">
        <f>IFERROR(__xludf.DUMMYFUNCTION("SPLIT(A3, "","")"),"ライフプランニング")</f>
        <v>ライフプランニング</v>
      </c>
      <c r="C3" s="2">
        <f>IFERROR(__xludf.DUMMYFUNCTION("""COMPUTED_VALUE"""),3.0)</f>
        <v>3</v>
      </c>
      <c r="D3" s="2">
        <f>IFERROR(__xludf.DUMMYFUNCTION("""COMPUTED_VALUE"""),6.0)</f>
        <v>6</v>
      </c>
      <c r="E3" s="3">
        <f>IFERROR(__xludf.DUMMYFUNCTION("""COMPUTED_VALUE"""),0.5)</f>
        <v>0.5</v>
      </c>
      <c r="F3" s="2" t="s">
        <v>130</v>
      </c>
      <c r="G3" s="1">
        <v>4.0</v>
      </c>
      <c r="H3" s="2">
        <v>6.0</v>
      </c>
      <c r="I3" s="3">
        <f t="shared" ref="I3:I21" si="1">G3/H3</f>
        <v>0.6666666667</v>
      </c>
      <c r="J3" s="2" t="s">
        <v>130</v>
      </c>
      <c r="K3" s="1">
        <v>5.0</v>
      </c>
      <c r="L3" s="2">
        <v>6.0</v>
      </c>
      <c r="M3" s="3">
        <f t="shared" ref="M3:M21" si="2">K3/L3</f>
        <v>0.8333333333</v>
      </c>
    </row>
    <row r="4">
      <c r="A4" s="1" t="s">
        <v>495</v>
      </c>
      <c r="B4" s="2" t="str">
        <f>IFERROR(__xludf.DUMMYFUNCTION("SPLIT(A4, "","")"),"給与所得")</f>
        <v>給与所得</v>
      </c>
      <c r="C4" s="2">
        <f>IFERROR(__xludf.DUMMYFUNCTION("""COMPUTED_VALUE"""),2.0)</f>
        <v>2</v>
      </c>
      <c r="D4" s="2">
        <f>IFERROR(__xludf.DUMMYFUNCTION("""COMPUTED_VALUE"""),2.0)</f>
        <v>2</v>
      </c>
      <c r="E4" s="3">
        <f>IFERROR(__xludf.DUMMYFUNCTION("""COMPUTED_VALUE"""),1.0)</f>
        <v>1</v>
      </c>
      <c r="F4" s="2" t="s">
        <v>496</v>
      </c>
      <c r="G4" s="1">
        <v>2.0</v>
      </c>
      <c r="H4" s="2">
        <v>2.0</v>
      </c>
      <c r="I4" s="3">
        <f t="shared" si="1"/>
        <v>1</v>
      </c>
      <c r="J4" s="2" t="s">
        <v>496</v>
      </c>
      <c r="K4" s="1">
        <v>2.0</v>
      </c>
      <c r="L4" s="2">
        <v>2.0</v>
      </c>
      <c r="M4" s="3">
        <f t="shared" si="2"/>
        <v>1</v>
      </c>
    </row>
    <row r="5">
      <c r="A5" s="1" t="s">
        <v>497</v>
      </c>
      <c r="B5" s="2" t="str">
        <f>IFERROR(__xludf.DUMMYFUNCTION("SPLIT(A5, "","")"),"不動産所得")</f>
        <v>不動産所得</v>
      </c>
      <c r="C5" s="2">
        <f>IFERROR(__xludf.DUMMYFUNCTION("""COMPUTED_VALUE"""),4.0)</f>
        <v>4</v>
      </c>
      <c r="D5" s="2">
        <f>IFERROR(__xludf.DUMMYFUNCTION("""COMPUTED_VALUE"""),6.0)</f>
        <v>6</v>
      </c>
      <c r="E5" s="3">
        <f>IFERROR(__xludf.DUMMYFUNCTION("""COMPUTED_VALUE"""),0.67)</f>
        <v>0.67</v>
      </c>
      <c r="F5" s="2" t="s">
        <v>54</v>
      </c>
      <c r="G5" s="1">
        <v>5.0</v>
      </c>
      <c r="H5" s="2">
        <v>6.0</v>
      </c>
      <c r="I5" s="3">
        <f t="shared" si="1"/>
        <v>0.8333333333</v>
      </c>
      <c r="J5" s="2" t="s">
        <v>54</v>
      </c>
      <c r="K5" s="1">
        <v>3.0</v>
      </c>
      <c r="L5" s="2">
        <v>6.0</v>
      </c>
      <c r="M5" s="3">
        <f t="shared" si="2"/>
        <v>0.5</v>
      </c>
    </row>
    <row r="6">
      <c r="A6" s="1" t="s">
        <v>498</v>
      </c>
      <c r="B6" s="2" t="str">
        <f>IFERROR(__xludf.DUMMYFUNCTION("SPLIT(A6, "","")"),"事業所得")</f>
        <v>事業所得</v>
      </c>
      <c r="C6" s="2">
        <f>IFERROR(__xludf.DUMMYFUNCTION("""COMPUTED_VALUE"""),4.0)</f>
        <v>4</v>
      </c>
      <c r="D6" s="2">
        <f>IFERROR(__xludf.DUMMYFUNCTION("""COMPUTED_VALUE"""),5.0)</f>
        <v>5</v>
      </c>
      <c r="E6" s="3">
        <f>IFERROR(__xludf.DUMMYFUNCTION("""COMPUTED_VALUE"""),0.8)</f>
        <v>0.8</v>
      </c>
      <c r="F6" s="2" t="s">
        <v>90</v>
      </c>
      <c r="G6" s="1">
        <v>3.0</v>
      </c>
      <c r="H6" s="2">
        <v>5.0</v>
      </c>
      <c r="I6" s="3">
        <f t="shared" si="1"/>
        <v>0.6</v>
      </c>
      <c r="J6" s="2" t="s">
        <v>90</v>
      </c>
      <c r="K6" s="1">
        <v>4.0</v>
      </c>
      <c r="L6" s="2">
        <v>5.0</v>
      </c>
      <c r="M6" s="3">
        <f t="shared" si="2"/>
        <v>0.8</v>
      </c>
    </row>
    <row r="7">
      <c r="A7" s="1" t="s">
        <v>499</v>
      </c>
      <c r="B7" s="2" t="str">
        <f>IFERROR(__xludf.DUMMYFUNCTION("SPLIT(A7, "","")"),"リタイアメント")</f>
        <v>リタイアメント</v>
      </c>
      <c r="C7" s="2">
        <f>IFERROR(__xludf.DUMMYFUNCTION("""COMPUTED_VALUE"""),3.0)</f>
        <v>3</v>
      </c>
      <c r="D7" s="2">
        <f>IFERROR(__xludf.DUMMYFUNCTION("""COMPUTED_VALUE"""),6.0)</f>
        <v>6</v>
      </c>
      <c r="E7" s="3">
        <f>IFERROR(__xludf.DUMMYFUNCTION("""COMPUTED_VALUE"""),0.5)</f>
        <v>0.5</v>
      </c>
      <c r="F7" s="2" t="s">
        <v>167</v>
      </c>
      <c r="G7" s="1">
        <v>3.0</v>
      </c>
      <c r="H7" s="1">
        <v>3.0</v>
      </c>
      <c r="I7" s="3">
        <f t="shared" si="1"/>
        <v>1</v>
      </c>
      <c r="J7" s="2" t="s">
        <v>167</v>
      </c>
      <c r="K7" s="1">
        <v>3.0</v>
      </c>
      <c r="L7" s="1">
        <v>3.0</v>
      </c>
      <c r="M7" s="3">
        <f t="shared" si="2"/>
        <v>1</v>
      </c>
    </row>
    <row r="8">
      <c r="A8" s="1" t="s">
        <v>500</v>
      </c>
      <c r="B8" s="2" t="str">
        <f>IFERROR(__xludf.DUMMYFUNCTION("SPLIT(A8, "","")"),"株式等譲渡所得")</f>
        <v>株式等譲渡所得</v>
      </c>
      <c r="C8" s="2">
        <f>IFERROR(__xludf.DUMMYFUNCTION("""COMPUTED_VALUE"""),1.0)</f>
        <v>1</v>
      </c>
      <c r="D8" s="2">
        <f>IFERROR(__xludf.DUMMYFUNCTION("""COMPUTED_VALUE"""),3.0)</f>
        <v>3</v>
      </c>
      <c r="E8" s="3">
        <f>IFERROR(__xludf.DUMMYFUNCTION("""COMPUTED_VALUE"""),0.33)</f>
        <v>0.33</v>
      </c>
      <c r="F8" s="2" t="s">
        <v>501</v>
      </c>
      <c r="G8" s="1">
        <v>2.0</v>
      </c>
      <c r="H8" s="2">
        <v>3.0</v>
      </c>
      <c r="I8" s="3">
        <f t="shared" si="1"/>
        <v>0.6666666667</v>
      </c>
      <c r="J8" s="2" t="s">
        <v>501</v>
      </c>
      <c r="K8" s="1">
        <v>2.0</v>
      </c>
      <c r="L8" s="2">
        <v>3.0</v>
      </c>
      <c r="M8" s="3">
        <f t="shared" si="2"/>
        <v>0.6666666667</v>
      </c>
    </row>
    <row r="9">
      <c r="A9" s="1" t="s">
        <v>502</v>
      </c>
      <c r="B9" s="2" t="str">
        <f>IFERROR(__xludf.DUMMYFUNCTION("SPLIT(A9, "","")"),"譲渡所得（土地・建物）")</f>
        <v>譲渡所得（土地・建物）</v>
      </c>
      <c r="C9" s="2">
        <f>IFERROR(__xludf.DUMMYFUNCTION("""COMPUTED_VALUE"""),1.0)</f>
        <v>1</v>
      </c>
      <c r="D9" s="2">
        <f>IFERROR(__xludf.DUMMYFUNCTION("""COMPUTED_VALUE"""),1.0)</f>
        <v>1</v>
      </c>
      <c r="E9" s="3">
        <f>IFERROR(__xludf.DUMMYFUNCTION("""COMPUTED_VALUE"""),1.0)</f>
        <v>1</v>
      </c>
      <c r="F9" s="2" t="s">
        <v>503</v>
      </c>
      <c r="G9" s="1">
        <v>1.0</v>
      </c>
      <c r="H9" s="2">
        <v>1.0</v>
      </c>
      <c r="I9" s="3">
        <f t="shared" si="1"/>
        <v>1</v>
      </c>
      <c r="J9" s="2" t="s">
        <v>503</v>
      </c>
      <c r="K9" s="1">
        <v>1.0</v>
      </c>
      <c r="L9" s="2">
        <v>1.0</v>
      </c>
      <c r="M9" s="3">
        <f t="shared" si="2"/>
        <v>1</v>
      </c>
    </row>
    <row r="10">
      <c r="A10" s="1" t="s">
        <v>504</v>
      </c>
      <c r="B10" s="2" t="str">
        <f>IFERROR(__xludf.DUMMYFUNCTION("SPLIT(A10, "","")"),"所得控除")</f>
        <v>所得控除</v>
      </c>
      <c r="C10" s="2">
        <f>IFERROR(__xludf.DUMMYFUNCTION("""COMPUTED_VALUE"""),2.0)</f>
        <v>2</v>
      </c>
      <c r="D10" s="2">
        <f>IFERROR(__xludf.DUMMYFUNCTION("""COMPUTED_VALUE"""),3.0)</f>
        <v>3</v>
      </c>
      <c r="E10" s="3">
        <f>IFERROR(__xludf.DUMMYFUNCTION("""COMPUTED_VALUE"""),0.67)</f>
        <v>0.67</v>
      </c>
      <c r="F10" s="2" t="s">
        <v>285</v>
      </c>
      <c r="G10" s="1">
        <v>2.0</v>
      </c>
      <c r="H10" s="2">
        <v>3.0</v>
      </c>
      <c r="I10" s="3">
        <f t="shared" si="1"/>
        <v>0.6666666667</v>
      </c>
      <c r="J10" s="2" t="s">
        <v>285</v>
      </c>
      <c r="K10" s="1">
        <v>3.0</v>
      </c>
      <c r="L10" s="2">
        <v>3.0</v>
      </c>
      <c r="M10" s="3">
        <f t="shared" si="2"/>
        <v>1</v>
      </c>
    </row>
    <row r="11">
      <c r="A11" s="1" t="s">
        <v>505</v>
      </c>
      <c r="B11" s="2" t="str">
        <f>IFERROR(__xludf.DUMMYFUNCTION("SPLIT(A11, "","")"),"損益通算")</f>
        <v>損益通算</v>
      </c>
      <c r="C11" s="2">
        <f>IFERROR(__xludf.DUMMYFUNCTION("""COMPUTED_VALUE"""),2.0)</f>
        <v>2</v>
      </c>
      <c r="D11" s="2">
        <f>IFERROR(__xludf.DUMMYFUNCTION("""COMPUTED_VALUE"""),2.0)</f>
        <v>2</v>
      </c>
      <c r="E11" s="3">
        <f>IFERROR(__xludf.DUMMYFUNCTION("""COMPUTED_VALUE"""),1.0)</f>
        <v>1</v>
      </c>
      <c r="F11" s="2" t="s">
        <v>246</v>
      </c>
      <c r="G11" s="1">
        <v>1.0</v>
      </c>
      <c r="H11" s="2">
        <v>2.0</v>
      </c>
      <c r="I11" s="3">
        <f t="shared" si="1"/>
        <v>0.5</v>
      </c>
      <c r="J11" s="2" t="s">
        <v>246</v>
      </c>
      <c r="K11" s="1">
        <v>0.0</v>
      </c>
      <c r="L11" s="2">
        <v>2.0</v>
      </c>
      <c r="M11" s="3">
        <f t="shared" si="2"/>
        <v>0</v>
      </c>
    </row>
    <row r="12">
      <c r="A12" s="1" t="s">
        <v>506</v>
      </c>
      <c r="B12" s="2" t="str">
        <f>IFERROR(__xludf.DUMMYFUNCTION("SPLIT(A12, "","")"),"住宅ローン控除")</f>
        <v>住宅ローン控除</v>
      </c>
      <c r="C12" s="2">
        <f>IFERROR(__xludf.DUMMYFUNCTION("""COMPUTED_VALUE"""),1.0)</f>
        <v>1</v>
      </c>
      <c r="D12" s="2">
        <f>IFERROR(__xludf.DUMMYFUNCTION("""COMPUTED_VALUE"""),1.0)</f>
        <v>1</v>
      </c>
      <c r="E12" s="3">
        <f>IFERROR(__xludf.DUMMYFUNCTION("""COMPUTED_VALUE"""),1.0)</f>
        <v>1</v>
      </c>
      <c r="F12" s="2" t="s">
        <v>314</v>
      </c>
      <c r="G12" s="1">
        <v>1.0</v>
      </c>
      <c r="H12" s="2">
        <v>1.0</v>
      </c>
      <c r="I12" s="3">
        <f t="shared" si="1"/>
        <v>1</v>
      </c>
      <c r="J12" s="2" t="s">
        <v>314</v>
      </c>
      <c r="K12" s="1">
        <v>1.0</v>
      </c>
      <c r="L12" s="2">
        <v>1.0</v>
      </c>
      <c r="M12" s="3">
        <f t="shared" si="2"/>
        <v>1</v>
      </c>
    </row>
    <row r="13">
      <c r="A13" s="1" t="s">
        <v>507</v>
      </c>
      <c r="B13" s="2" t="str">
        <f>IFERROR(__xludf.DUMMYFUNCTION("SPLIT(A13, "","")"),"所得税の申告・納付")</f>
        <v>所得税の申告・納付</v>
      </c>
      <c r="C13" s="2">
        <f>IFERROR(__xludf.DUMMYFUNCTION("""COMPUTED_VALUE"""),0.0)</f>
        <v>0</v>
      </c>
      <c r="D13" s="2">
        <f>IFERROR(__xludf.DUMMYFUNCTION("""COMPUTED_VALUE"""),1.0)</f>
        <v>1</v>
      </c>
      <c r="E13" s="3">
        <f>IFERROR(__xludf.DUMMYFUNCTION("""COMPUTED_VALUE"""),0.0)</f>
        <v>0</v>
      </c>
      <c r="F13" s="2" t="s">
        <v>332</v>
      </c>
      <c r="G13" s="1">
        <v>0.0</v>
      </c>
      <c r="H13" s="2">
        <v>1.0</v>
      </c>
      <c r="I13" s="3">
        <f t="shared" si="1"/>
        <v>0</v>
      </c>
      <c r="J13" s="2" t="s">
        <v>332</v>
      </c>
      <c r="K13" s="1">
        <v>0.0</v>
      </c>
      <c r="L13" s="2">
        <v>1.0</v>
      </c>
      <c r="M13" s="3">
        <f t="shared" si="2"/>
        <v>0</v>
      </c>
    </row>
    <row r="14">
      <c r="A14" s="1" t="s">
        <v>508</v>
      </c>
      <c r="B14" s="2" t="str">
        <f>IFERROR(__xludf.DUMMYFUNCTION("SPLIT(A14, "","")"),"非居住者")</f>
        <v>非居住者</v>
      </c>
      <c r="C14" s="2">
        <f>IFERROR(__xludf.DUMMYFUNCTION("""COMPUTED_VALUE"""),0.0)</f>
        <v>0</v>
      </c>
      <c r="D14" s="2">
        <f>IFERROR(__xludf.DUMMYFUNCTION("""COMPUTED_VALUE"""),1.0)</f>
        <v>1</v>
      </c>
      <c r="E14" s="3">
        <f>IFERROR(__xludf.DUMMYFUNCTION("""COMPUTED_VALUE"""),0.0)</f>
        <v>0</v>
      </c>
      <c r="F14" s="2" t="s">
        <v>383</v>
      </c>
      <c r="G14" s="1">
        <v>0.0</v>
      </c>
      <c r="H14" s="2">
        <v>1.0</v>
      </c>
      <c r="I14" s="3">
        <f t="shared" si="1"/>
        <v>0</v>
      </c>
      <c r="J14" s="2" t="s">
        <v>383</v>
      </c>
      <c r="K14" s="1">
        <v>1.0</v>
      </c>
      <c r="L14" s="2">
        <v>1.0</v>
      </c>
      <c r="M14" s="3">
        <f t="shared" si="2"/>
        <v>1</v>
      </c>
    </row>
    <row r="15">
      <c r="A15" s="1" t="s">
        <v>509</v>
      </c>
      <c r="B15" s="2" t="str">
        <f>IFERROR(__xludf.DUMMYFUNCTION("SPLIT(A15, "","")"),"消費税")</f>
        <v>消費税</v>
      </c>
      <c r="C15" s="2">
        <f>IFERROR(__xludf.DUMMYFUNCTION("""COMPUTED_VALUE"""),0.0)</f>
        <v>0</v>
      </c>
      <c r="D15" s="2">
        <f>IFERROR(__xludf.DUMMYFUNCTION("""COMPUTED_VALUE"""),2.0)</f>
        <v>2</v>
      </c>
      <c r="E15" s="3">
        <f>IFERROR(__xludf.DUMMYFUNCTION("""COMPUTED_VALUE"""),0.0)</f>
        <v>0</v>
      </c>
      <c r="F15" s="2" t="s">
        <v>337</v>
      </c>
      <c r="G15" s="1">
        <v>2.0</v>
      </c>
      <c r="H15" s="2">
        <v>2.0</v>
      </c>
      <c r="I15" s="3">
        <f t="shared" si="1"/>
        <v>1</v>
      </c>
      <c r="J15" s="2" t="s">
        <v>337</v>
      </c>
      <c r="K15" s="1">
        <v>1.0</v>
      </c>
      <c r="L15" s="2">
        <v>2.0</v>
      </c>
      <c r="M15" s="3">
        <f t="shared" si="2"/>
        <v>0.5</v>
      </c>
    </row>
    <row r="16">
      <c r="A16" s="1" t="s">
        <v>510</v>
      </c>
      <c r="B16" s="2" t="str">
        <f>IFERROR(__xludf.DUMMYFUNCTION("SPLIT(A16, "","")"),"個人事業税")</f>
        <v>個人事業税</v>
      </c>
      <c r="C16" s="2">
        <f>IFERROR(__xludf.DUMMYFUNCTION("""COMPUTED_VALUE"""),0.0)</f>
        <v>0</v>
      </c>
      <c r="D16" s="2">
        <f>IFERROR(__xludf.DUMMYFUNCTION("""COMPUTED_VALUE"""),1.0)</f>
        <v>1</v>
      </c>
      <c r="E16" s="3">
        <f>IFERROR(__xludf.DUMMYFUNCTION("""COMPUTED_VALUE"""),0.0)</f>
        <v>0</v>
      </c>
      <c r="F16" s="2" t="s">
        <v>361</v>
      </c>
      <c r="G16" s="1">
        <v>0.0</v>
      </c>
      <c r="H16" s="2">
        <v>1.0</v>
      </c>
      <c r="I16" s="3">
        <f t="shared" si="1"/>
        <v>0</v>
      </c>
      <c r="J16" s="2" t="s">
        <v>361</v>
      </c>
      <c r="K16" s="1">
        <v>0.0</v>
      </c>
      <c r="L16" s="2">
        <v>1.0</v>
      </c>
      <c r="M16" s="3">
        <f t="shared" si="2"/>
        <v>0</v>
      </c>
    </row>
    <row r="17">
      <c r="A17" s="1" t="s">
        <v>511</v>
      </c>
      <c r="B17" s="2" t="str">
        <f>IFERROR(__xludf.DUMMYFUNCTION("SPLIT(A17, "","")"),"法人なり")</f>
        <v>法人なり</v>
      </c>
      <c r="C17" s="2">
        <f>IFERROR(__xludf.DUMMYFUNCTION("""COMPUTED_VALUE"""),1.0)</f>
        <v>1</v>
      </c>
      <c r="D17" s="2">
        <f>IFERROR(__xludf.DUMMYFUNCTION("""COMPUTED_VALUE"""),3.0)</f>
        <v>3</v>
      </c>
      <c r="E17" s="3">
        <f>IFERROR(__xludf.DUMMYFUNCTION("""COMPUTED_VALUE"""),0.33)</f>
        <v>0.33</v>
      </c>
      <c r="F17" s="2" t="s">
        <v>512</v>
      </c>
      <c r="G17" s="1">
        <v>1.0</v>
      </c>
      <c r="H17" s="2">
        <v>3.0</v>
      </c>
      <c r="I17" s="3">
        <f t="shared" si="1"/>
        <v>0.3333333333</v>
      </c>
      <c r="J17" s="2" t="s">
        <v>512</v>
      </c>
      <c r="K17" s="1">
        <v>2.0</v>
      </c>
      <c r="L17" s="2">
        <v>3.0</v>
      </c>
      <c r="M17" s="3">
        <f t="shared" si="2"/>
        <v>0.6666666667</v>
      </c>
    </row>
    <row r="18">
      <c r="A18" s="1" t="s">
        <v>513</v>
      </c>
      <c r="B18" s="2" t="str">
        <f>IFERROR(__xludf.DUMMYFUNCTION("SPLIT(A18, "","")"),"法人税")</f>
        <v>法人税</v>
      </c>
      <c r="C18" s="2">
        <f>IFERROR(__xludf.DUMMYFUNCTION("""COMPUTED_VALUE"""),1.0)</f>
        <v>1</v>
      </c>
      <c r="D18" s="2">
        <f>IFERROR(__xludf.DUMMYFUNCTION("""COMPUTED_VALUE"""),6.0)</f>
        <v>6</v>
      </c>
      <c r="E18" s="3">
        <f>IFERROR(__xludf.DUMMYFUNCTION("""COMPUTED_VALUE"""),0.17)</f>
        <v>0.17</v>
      </c>
      <c r="F18" s="2" t="s">
        <v>413</v>
      </c>
      <c r="G18" s="1">
        <v>3.0</v>
      </c>
      <c r="H18" s="2">
        <v>6.0</v>
      </c>
      <c r="I18" s="3">
        <f t="shared" si="1"/>
        <v>0.5</v>
      </c>
      <c r="J18" s="2" t="s">
        <v>413</v>
      </c>
      <c r="K18" s="1">
        <v>4.0</v>
      </c>
      <c r="L18" s="2">
        <v>6.0</v>
      </c>
      <c r="M18" s="3">
        <f t="shared" si="2"/>
        <v>0.6666666667</v>
      </c>
    </row>
    <row r="19">
      <c r="A19" s="1" t="s">
        <v>514</v>
      </c>
      <c r="B19" s="2" t="str">
        <f>IFERROR(__xludf.DUMMYFUNCTION("SPLIT(A19, "","")"),"役員・法人の取引／法人契約の生命保険")</f>
        <v>役員・法人の取引／法人契約の生命保険</v>
      </c>
      <c r="C19" s="2">
        <f>IFERROR(__xludf.DUMMYFUNCTION("""COMPUTED_VALUE"""),2.0)</f>
        <v>2</v>
      </c>
      <c r="D19" s="2">
        <f>IFERROR(__xludf.DUMMYFUNCTION("""COMPUTED_VALUE"""),2.0)</f>
        <v>2</v>
      </c>
      <c r="E19" s="3">
        <f>IFERROR(__xludf.DUMMYFUNCTION("""COMPUTED_VALUE"""),1.0)</f>
        <v>1</v>
      </c>
      <c r="F19" s="2" t="s">
        <v>515</v>
      </c>
      <c r="G19" s="1">
        <v>1.0</v>
      </c>
      <c r="H19" s="2">
        <v>2.0</v>
      </c>
      <c r="I19" s="3">
        <f t="shared" si="1"/>
        <v>0.5</v>
      </c>
      <c r="J19" s="2" t="s">
        <v>515</v>
      </c>
      <c r="K19" s="1">
        <v>1.0</v>
      </c>
      <c r="L19" s="2">
        <v>2.0</v>
      </c>
      <c r="M19" s="3">
        <f t="shared" si="2"/>
        <v>0.5</v>
      </c>
    </row>
    <row r="20">
      <c r="A20" s="1" t="s">
        <v>516</v>
      </c>
      <c r="B20" s="2" t="str">
        <f>IFERROR(__xludf.DUMMYFUNCTION("SPLIT(A20, "","")"),"財務諸表の読みこなし")</f>
        <v>財務諸表の読みこなし</v>
      </c>
      <c r="C20" s="2">
        <f>IFERROR(__xludf.DUMMYFUNCTION("""COMPUTED_VALUE"""),1.0)</f>
        <v>1</v>
      </c>
      <c r="D20" s="2">
        <f>IFERROR(__xludf.DUMMYFUNCTION("""COMPUTED_VALUE"""),2.0)</f>
        <v>2</v>
      </c>
      <c r="E20" s="3">
        <f>IFERROR(__xludf.DUMMYFUNCTION("""COMPUTED_VALUE"""),0.5)</f>
        <v>0.5</v>
      </c>
      <c r="F20" s="2" t="s">
        <v>474</v>
      </c>
      <c r="G20" s="1">
        <v>2.0</v>
      </c>
      <c r="H20" s="2">
        <v>2.0</v>
      </c>
      <c r="I20" s="3">
        <f t="shared" si="1"/>
        <v>1</v>
      </c>
      <c r="J20" s="2" t="s">
        <v>474</v>
      </c>
      <c r="K20" s="1">
        <v>2.0</v>
      </c>
      <c r="L20" s="2">
        <v>2.0</v>
      </c>
      <c r="M20" s="3">
        <f t="shared" si="2"/>
        <v>1</v>
      </c>
    </row>
    <row r="21">
      <c r="C21" s="2">
        <f>SUM(C3:C20)</f>
        <v>28</v>
      </c>
      <c r="D21" s="1">
        <v>50.0</v>
      </c>
      <c r="E21" s="3">
        <f>C21/D21</f>
        <v>0.56</v>
      </c>
      <c r="G21" s="2">
        <f t="shared" ref="G21:H21" si="3">SUM(G3:G20)</f>
        <v>33</v>
      </c>
      <c r="H21" s="2">
        <f t="shared" si="3"/>
        <v>50</v>
      </c>
      <c r="I21" s="3">
        <f t="shared" si="1"/>
        <v>0.66</v>
      </c>
      <c r="K21" s="2">
        <f t="shared" ref="K21:L21" si="4">SUM(K3:K20)</f>
        <v>35</v>
      </c>
      <c r="L21" s="2">
        <f t="shared" si="4"/>
        <v>50</v>
      </c>
      <c r="M21" s="3">
        <f t="shared" si="2"/>
        <v>0.7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3" max="3" width="8.38"/>
    <col customWidth="1" min="4" max="4" width="29.38"/>
    <col customWidth="1" min="6" max="6" width="6.0"/>
    <col customWidth="1" min="7" max="7" width="9.38"/>
    <col customWidth="1" min="8" max="8" width="6.0"/>
  </cols>
  <sheetData>
    <row r="1">
      <c r="A1" s="1" t="s">
        <v>517</v>
      </c>
      <c r="B1" s="1" t="s">
        <v>490</v>
      </c>
      <c r="C1" s="1" t="s">
        <v>0</v>
      </c>
      <c r="D1" s="1" t="s">
        <v>1</v>
      </c>
      <c r="E1" s="1" t="s">
        <v>2</v>
      </c>
      <c r="F1" s="1" t="s">
        <v>518</v>
      </c>
      <c r="G1" s="1" t="s">
        <v>519</v>
      </c>
      <c r="H1" s="1" t="s">
        <v>520</v>
      </c>
    </row>
    <row r="2">
      <c r="A2" s="1">
        <v>1.0</v>
      </c>
      <c r="B2" s="1" t="s">
        <v>361</v>
      </c>
      <c r="C2" s="1" t="s">
        <v>360</v>
      </c>
      <c r="D2" s="1" t="s">
        <v>521</v>
      </c>
      <c r="E2" s="1" t="s">
        <v>522</v>
      </c>
      <c r="F2" s="1" t="s">
        <v>523</v>
      </c>
      <c r="G2" s="4">
        <v>0.0</v>
      </c>
      <c r="H2" s="1">
        <v>163.0</v>
      </c>
    </row>
    <row r="3">
      <c r="A3" s="1">
        <v>2.0</v>
      </c>
      <c r="B3" s="1" t="s">
        <v>361</v>
      </c>
      <c r="C3" s="1" t="s">
        <v>364</v>
      </c>
      <c r="D3" s="1" t="s">
        <v>524</v>
      </c>
      <c r="E3" s="1" t="s">
        <v>522</v>
      </c>
      <c r="F3" s="1" t="s">
        <v>523</v>
      </c>
      <c r="G3" s="4">
        <v>0.0</v>
      </c>
      <c r="H3" s="1">
        <v>164.0</v>
      </c>
    </row>
    <row r="4">
      <c r="A4" s="1">
        <v>3.0</v>
      </c>
      <c r="B4" s="1" t="s">
        <v>361</v>
      </c>
      <c r="C4" s="1" t="s">
        <v>367</v>
      </c>
      <c r="D4" s="1" t="s">
        <v>525</v>
      </c>
      <c r="E4" s="1" t="s">
        <v>522</v>
      </c>
      <c r="F4" s="1" t="s">
        <v>523</v>
      </c>
      <c r="G4" s="4">
        <v>0.0</v>
      </c>
      <c r="H4" s="1">
        <v>165.0</v>
      </c>
    </row>
    <row r="5">
      <c r="A5" s="1">
        <v>4.0</v>
      </c>
      <c r="B5" s="1" t="s">
        <v>413</v>
      </c>
      <c r="C5" s="1" t="s">
        <v>412</v>
      </c>
      <c r="D5" s="1" t="s">
        <v>526</v>
      </c>
      <c r="E5" s="1" t="s">
        <v>522</v>
      </c>
      <c r="F5" s="1" t="s">
        <v>523</v>
      </c>
      <c r="G5" s="4">
        <v>0.17</v>
      </c>
      <c r="H5" s="1">
        <v>178.0</v>
      </c>
    </row>
    <row r="6">
      <c r="A6" s="1">
        <v>5.0</v>
      </c>
      <c r="B6" s="1" t="s">
        <v>413</v>
      </c>
      <c r="C6" s="1" t="s">
        <v>412</v>
      </c>
      <c r="D6" s="1" t="s">
        <v>527</v>
      </c>
      <c r="E6" s="1" t="s">
        <v>528</v>
      </c>
      <c r="F6" s="1" t="s">
        <v>523</v>
      </c>
      <c r="G6" s="4">
        <v>0.17</v>
      </c>
      <c r="H6" s="1">
        <v>178.0</v>
      </c>
    </row>
    <row r="7">
      <c r="A7" s="1">
        <v>6.0</v>
      </c>
      <c r="B7" s="1" t="s">
        <v>413</v>
      </c>
      <c r="C7" s="1" t="s">
        <v>412</v>
      </c>
      <c r="D7" s="1" t="s">
        <v>529</v>
      </c>
      <c r="E7" s="1" t="s">
        <v>530</v>
      </c>
      <c r="F7" s="1" t="s">
        <v>523</v>
      </c>
      <c r="G7" s="4">
        <v>0.17</v>
      </c>
      <c r="H7" s="1">
        <v>179.0</v>
      </c>
    </row>
    <row r="8">
      <c r="A8" s="1">
        <v>7.0</v>
      </c>
      <c r="B8" s="1" t="s">
        <v>413</v>
      </c>
      <c r="C8" s="1" t="s">
        <v>412</v>
      </c>
      <c r="D8" s="1" t="s">
        <v>531</v>
      </c>
      <c r="E8" s="1" t="s">
        <v>532</v>
      </c>
      <c r="F8" s="1" t="s">
        <v>523</v>
      </c>
      <c r="G8" s="4">
        <v>0.17</v>
      </c>
      <c r="H8" s="1">
        <v>179.0</v>
      </c>
    </row>
    <row r="9">
      <c r="A9" s="1">
        <v>8.0</v>
      </c>
      <c r="B9" s="1" t="s">
        <v>413</v>
      </c>
      <c r="C9" s="1" t="s">
        <v>412</v>
      </c>
      <c r="D9" s="1" t="s">
        <v>533</v>
      </c>
      <c r="E9" s="1" t="s">
        <v>534</v>
      </c>
      <c r="F9" s="1" t="s">
        <v>523</v>
      </c>
      <c r="G9" s="4">
        <v>0.17</v>
      </c>
      <c r="H9" s="1">
        <v>179.0</v>
      </c>
    </row>
    <row r="10">
      <c r="A10" s="1">
        <v>9.0</v>
      </c>
      <c r="B10" s="1" t="s">
        <v>413</v>
      </c>
      <c r="C10" s="1" t="s">
        <v>421</v>
      </c>
      <c r="D10" s="1" t="s">
        <v>535</v>
      </c>
      <c r="E10" s="1" t="s">
        <v>522</v>
      </c>
      <c r="F10" s="1" t="s">
        <v>523</v>
      </c>
      <c r="G10" s="4">
        <v>0.17</v>
      </c>
      <c r="H10" s="1">
        <v>182.0</v>
      </c>
    </row>
    <row r="11">
      <c r="A11" s="1">
        <v>10.0</v>
      </c>
      <c r="B11" s="1" t="s">
        <v>413</v>
      </c>
      <c r="C11" s="1" t="s">
        <v>421</v>
      </c>
      <c r="D11" s="1" t="s">
        <v>536</v>
      </c>
      <c r="E11" s="1" t="s">
        <v>528</v>
      </c>
      <c r="F11" s="1" t="s">
        <v>523</v>
      </c>
      <c r="G11" s="4">
        <v>0.17</v>
      </c>
      <c r="H11" s="1">
        <v>182.0</v>
      </c>
    </row>
    <row r="12">
      <c r="A12" s="1">
        <v>11.0</v>
      </c>
      <c r="B12" s="1" t="s">
        <v>413</v>
      </c>
      <c r="C12" s="1" t="s">
        <v>421</v>
      </c>
      <c r="D12" s="1" t="s">
        <v>537</v>
      </c>
      <c r="E12" s="1" t="s">
        <v>530</v>
      </c>
      <c r="F12" s="1" t="s">
        <v>523</v>
      </c>
      <c r="G12" s="4">
        <v>0.17</v>
      </c>
      <c r="H12" s="1">
        <v>182.0</v>
      </c>
    </row>
    <row r="13">
      <c r="A13" s="1">
        <v>12.0</v>
      </c>
      <c r="B13" s="1" t="s">
        <v>413</v>
      </c>
      <c r="C13" s="1" t="s">
        <v>421</v>
      </c>
      <c r="D13" s="1" t="s">
        <v>538</v>
      </c>
      <c r="E13" s="1" t="s">
        <v>532</v>
      </c>
      <c r="F13" s="1" t="s">
        <v>523</v>
      </c>
      <c r="G13" s="4">
        <v>0.17</v>
      </c>
      <c r="H13" s="1">
        <v>182.0</v>
      </c>
    </row>
    <row r="14">
      <c r="A14" s="1">
        <v>13.0</v>
      </c>
      <c r="B14" s="1" t="s">
        <v>413</v>
      </c>
      <c r="C14" s="1" t="s">
        <v>421</v>
      </c>
      <c r="D14" s="1" t="s">
        <v>539</v>
      </c>
      <c r="E14" s="1" t="s">
        <v>534</v>
      </c>
      <c r="F14" s="1" t="s">
        <v>523</v>
      </c>
      <c r="G14" s="4">
        <v>0.17</v>
      </c>
      <c r="H14" s="1">
        <v>183.0</v>
      </c>
    </row>
    <row r="15">
      <c r="A15" s="1">
        <v>14.0</v>
      </c>
      <c r="B15" s="1" t="s">
        <v>413</v>
      </c>
      <c r="C15" s="1" t="s">
        <v>421</v>
      </c>
      <c r="D15" s="1" t="s">
        <v>540</v>
      </c>
      <c r="E15" s="1" t="s">
        <v>541</v>
      </c>
      <c r="F15" s="1" t="s">
        <v>523</v>
      </c>
      <c r="G15" s="4">
        <v>0.17</v>
      </c>
      <c r="H15" s="1">
        <v>183.0</v>
      </c>
    </row>
    <row r="16">
      <c r="A16" s="1">
        <v>15.0</v>
      </c>
      <c r="B16" s="1" t="s">
        <v>413</v>
      </c>
      <c r="C16" s="1" t="s">
        <v>430</v>
      </c>
      <c r="D16" s="1" t="s">
        <v>542</v>
      </c>
      <c r="E16" s="1" t="s">
        <v>522</v>
      </c>
      <c r="F16" s="1" t="s">
        <v>523</v>
      </c>
      <c r="G16" s="4">
        <v>0.17</v>
      </c>
      <c r="H16" s="1">
        <v>186.0</v>
      </c>
    </row>
    <row r="17">
      <c r="A17" s="1">
        <v>16.0</v>
      </c>
      <c r="B17" s="1" t="s">
        <v>413</v>
      </c>
      <c r="C17" s="1" t="s">
        <v>430</v>
      </c>
      <c r="D17" s="1" t="s">
        <v>543</v>
      </c>
      <c r="E17" s="1" t="s">
        <v>528</v>
      </c>
      <c r="F17" s="1" t="s">
        <v>523</v>
      </c>
      <c r="G17" s="4">
        <v>0.17</v>
      </c>
      <c r="H17" s="1">
        <v>186.0</v>
      </c>
    </row>
    <row r="18">
      <c r="A18" s="1">
        <v>17.0</v>
      </c>
      <c r="B18" s="1" t="s">
        <v>413</v>
      </c>
      <c r="C18" s="1" t="s">
        <v>430</v>
      </c>
      <c r="D18" s="1" t="s">
        <v>544</v>
      </c>
      <c r="E18" s="1" t="s">
        <v>532</v>
      </c>
      <c r="F18" s="1" t="s">
        <v>523</v>
      </c>
      <c r="G18" s="4">
        <v>0.17</v>
      </c>
      <c r="H18" s="1">
        <v>186.0</v>
      </c>
    </row>
    <row r="19">
      <c r="A19" s="1">
        <v>18.0</v>
      </c>
      <c r="B19" s="1" t="s">
        <v>413</v>
      </c>
      <c r="C19" s="1" t="s">
        <v>430</v>
      </c>
      <c r="D19" s="1" t="s">
        <v>545</v>
      </c>
      <c r="E19" s="1" t="s">
        <v>534</v>
      </c>
      <c r="F19" s="1" t="s">
        <v>523</v>
      </c>
      <c r="G19" s="4">
        <v>0.17</v>
      </c>
      <c r="H19" s="1">
        <v>186.0</v>
      </c>
    </row>
    <row r="20">
      <c r="A20" s="1">
        <v>19.0</v>
      </c>
      <c r="B20" s="1" t="s">
        <v>501</v>
      </c>
      <c r="C20" s="1" t="s">
        <v>194</v>
      </c>
      <c r="D20" s="1" t="s">
        <v>546</v>
      </c>
      <c r="E20" s="1" t="s">
        <v>522</v>
      </c>
      <c r="F20" s="1" t="s">
        <v>523</v>
      </c>
      <c r="G20" s="4">
        <v>0.33</v>
      </c>
      <c r="H20" s="1">
        <v>110.0</v>
      </c>
    </row>
    <row r="21">
      <c r="A21" s="1">
        <v>20.0</v>
      </c>
      <c r="B21" s="1" t="s">
        <v>501</v>
      </c>
      <c r="C21" s="1" t="s">
        <v>194</v>
      </c>
      <c r="D21" s="1" t="s">
        <v>547</v>
      </c>
      <c r="E21" s="1" t="s">
        <v>528</v>
      </c>
      <c r="F21" s="1" t="s">
        <v>523</v>
      </c>
      <c r="G21" s="4">
        <v>0.33</v>
      </c>
      <c r="H21" s="1">
        <v>111.0</v>
      </c>
    </row>
    <row r="22">
      <c r="A22" s="1">
        <v>21.0</v>
      </c>
      <c r="B22" s="1" t="s">
        <v>501</v>
      </c>
      <c r="C22" s="1" t="s">
        <v>203</v>
      </c>
      <c r="D22" s="1" t="s">
        <v>548</v>
      </c>
      <c r="E22" s="1" t="s">
        <v>528</v>
      </c>
      <c r="F22" s="1" t="s">
        <v>523</v>
      </c>
      <c r="G22" s="4">
        <v>0.33</v>
      </c>
      <c r="H22" s="1">
        <v>114.0</v>
      </c>
    </row>
    <row r="23">
      <c r="A23" s="1">
        <v>22.0</v>
      </c>
      <c r="B23" s="1" t="s">
        <v>501</v>
      </c>
      <c r="C23" s="1" t="s">
        <v>210</v>
      </c>
      <c r="D23" s="1" t="s">
        <v>549</v>
      </c>
      <c r="E23" s="1" t="s">
        <v>530</v>
      </c>
      <c r="F23" s="1" t="s">
        <v>523</v>
      </c>
      <c r="G23" s="4">
        <v>0.33</v>
      </c>
      <c r="H23" s="1">
        <v>117.0</v>
      </c>
    </row>
    <row r="24">
      <c r="A24" s="1">
        <v>23.0</v>
      </c>
      <c r="B24" s="1" t="s">
        <v>512</v>
      </c>
      <c r="C24" s="1" t="s">
        <v>398</v>
      </c>
      <c r="D24" s="1" t="s">
        <v>550</v>
      </c>
      <c r="E24" s="1" t="s">
        <v>528</v>
      </c>
      <c r="F24" s="1" t="s">
        <v>523</v>
      </c>
      <c r="G24" s="4">
        <v>0.33</v>
      </c>
      <c r="H24" s="1">
        <v>174.0</v>
      </c>
    </row>
    <row r="25">
      <c r="A25" s="1">
        <v>24.0</v>
      </c>
      <c r="B25" s="1" t="s">
        <v>551</v>
      </c>
      <c r="C25" s="1" t="s">
        <v>473</v>
      </c>
      <c r="D25" s="1" t="s">
        <v>552</v>
      </c>
      <c r="E25" s="1" t="s">
        <v>522</v>
      </c>
      <c r="F25" s="1" t="s">
        <v>523</v>
      </c>
      <c r="G25" s="4">
        <v>0.5</v>
      </c>
      <c r="H25" s="1">
        <v>195.0</v>
      </c>
    </row>
    <row r="26">
      <c r="A26" s="1">
        <v>25.0</v>
      </c>
      <c r="B26" s="1" t="s">
        <v>551</v>
      </c>
      <c r="C26" s="1" t="s">
        <v>473</v>
      </c>
      <c r="D26" s="1" t="s">
        <v>553</v>
      </c>
      <c r="E26" s="1" t="s">
        <v>528</v>
      </c>
      <c r="F26" s="1" t="s">
        <v>523</v>
      </c>
      <c r="G26" s="4">
        <v>0.5</v>
      </c>
      <c r="H26" s="1">
        <v>195.0</v>
      </c>
    </row>
    <row r="27">
      <c r="A27" s="1">
        <v>26.0</v>
      </c>
      <c r="B27" s="1" t="s">
        <v>551</v>
      </c>
      <c r="C27" s="1" t="s">
        <v>478</v>
      </c>
      <c r="D27" s="1" t="s">
        <v>554</v>
      </c>
      <c r="E27" s="1" t="s">
        <v>522</v>
      </c>
      <c r="F27" s="1" t="s">
        <v>523</v>
      </c>
      <c r="G27" s="1">
        <v>197.0</v>
      </c>
      <c r="H27" s="1">
        <v>197.0</v>
      </c>
    </row>
    <row r="28">
      <c r="A28" s="1">
        <v>27.0</v>
      </c>
      <c r="B28" s="1" t="s">
        <v>551</v>
      </c>
      <c r="C28" s="1" t="s">
        <v>478</v>
      </c>
      <c r="D28" s="1" t="s">
        <v>555</v>
      </c>
      <c r="E28" s="1" t="s">
        <v>528</v>
      </c>
      <c r="F28" s="1" t="s">
        <v>523</v>
      </c>
      <c r="G28" s="1">
        <v>197.0</v>
      </c>
      <c r="H28" s="1">
        <v>197.0</v>
      </c>
    </row>
    <row r="29">
      <c r="A29" s="1">
        <v>28.0</v>
      </c>
      <c r="B29" s="1" t="s">
        <v>556</v>
      </c>
      <c r="C29" s="1" t="s">
        <v>141</v>
      </c>
      <c r="D29" s="1" t="s">
        <v>557</v>
      </c>
      <c r="E29" s="1" t="s">
        <v>541</v>
      </c>
      <c r="F29" s="1" t="s">
        <v>523</v>
      </c>
      <c r="G29" s="4">
        <v>0.5</v>
      </c>
      <c r="H29" s="1">
        <v>93.0</v>
      </c>
    </row>
    <row r="30">
      <c r="A30" s="1">
        <v>29.0</v>
      </c>
      <c r="B30" s="1" t="s">
        <v>413</v>
      </c>
      <c r="C30" s="1" t="s">
        <v>430</v>
      </c>
      <c r="D30" s="1" t="s">
        <v>558</v>
      </c>
      <c r="E30" s="1" t="s">
        <v>530</v>
      </c>
      <c r="F30" s="1" t="s">
        <v>559</v>
      </c>
      <c r="G30" s="4">
        <v>0.17</v>
      </c>
      <c r="H30" s="1">
        <v>186.0</v>
      </c>
    </row>
    <row r="31">
      <c r="A31" s="1">
        <v>30.0</v>
      </c>
      <c r="B31" s="1" t="s">
        <v>501</v>
      </c>
      <c r="C31" s="1" t="s">
        <v>194</v>
      </c>
      <c r="D31" s="1" t="s">
        <v>560</v>
      </c>
      <c r="E31" s="1" t="s">
        <v>530</v>
      </c>
      <c r="F31" s="1" t="s">
        <v>559</v>
      </c>
      <c r="G31" s="4">
        <v>0.33</v>
      </c>
      <c r="H31" s="1">
        <v>112.0</v>
      </c>
    </row>
    <row r="32">
      <c r="A32" s="1">
        <v>31.0</v>
      </c>
      <c r="B32" s="1" t="s">
        <v>501</v>
      </c>
      <c r="C32" s="1" t="s">
        <v>194</v>
      </c>
      <c r="D32" s="1" t="s">
        <v>561</v>
      </c>
      <c r="E32" s="1" t="s">
        <v>532</v>
      </c>
      <c r="F32" s="1" t="s">
        <v>559</v>
      </c>
      <c r="G32" s="4">
        <v>0.33</v>
      </c>
      <c r="H32" s="1">
        <v>112.0</v>
      </c>
    </row>
    <row r="33">
      <c r="A33" s="1">
        <v>32.0</v>
      </c>
      <c r="B33" s="1" t="s">
        <v>501</v>
      </c>
      <c r="C33" s="1" t="s">
        <v>203</v>
      </c>
      <c r="D33" s="1" t="s">
        <v>562</v>
      </c>
      <c r="E33" s="1" t="s">
        <v>522</v>
      </c>
      <c r="F33" s="1" t="s">
        <v>559</v>
      </c>
      <c r="G33" s="4">
        <v>0.33</v>
      </c>
      <c r="H33" s="1">
        <v>113.0</v>
      </c>
    </row>
    <row r="34">
      <c r="A34" s="1">
        <v>33.0</v>
      </c>
      <c r="B34" s="1" t="s">
        <v>501</v>
      </c>
      <c r="C34" s="1" t="s">
        <v>203</v>
      </c>
      <c r="D34" s="1" t="s">
        <v>563</v>
      </c>
      <c r="E34" s="1" t="s">
        <v>530</v>
      </c>
      <c r="F34" s="1" t="s">
        <v>559</v>
      </c>
      <c r="G34" s="4">
        <v>0.33</v>
      </c>
      <c r="H34" s="1">
        <v>115.0</v>
      </c>
    </row>
    <row r="35">
      <c r="A35" s="1">
        <v>34.0</v>
      </c>
      <c r="B35" s="1" t="s">
        <v>501</v>
      </c>
      <c r="C35" s="1" t="s">
        <v>210</v>
      </c>
      <c r="D35" s="1" t="s">
        <v>564</v>
      </c>
      <c r="E35" s="1" t="s">
        <v>522</v>
      </c>
      <c r="F35" s="1" t="s">
        <v>559</v>
      </c>
      <c r="G35" s="4">
        <v>0.33</v>
      </c>
      <c r="H35" s="1">
        <v>116.0</v>
      </c>
    </row>
    <row r="36">
      <c r="A36" s="1">
        <v>35.0</v>
      </c>
      <c r="B36" s="1" t="s">
        <v>501</v>
      </c>
      <c r="C36" s="1" t="s">
        <v>221</v>
      </c>
      <c r="D36" s="1" t="s">
        <v>565</v>
      </c>
      <c r="E36" s="1" t="s">
        <v>522</v>
      </c>
      <c r="F36" s="1" t="s">
        <v>559</v>
      </c>
      <c r="G36" s="4">
        <v>0.33</v>
      </c>
      <c r="H36" s="1">
        <v>119.0</v>
      </c>
    </row>
    <row r="37">
      <c r="A37" s="1">
        <v>36.0</v>
      </c>
      <c r="B37" s="1" t="s">
        <v>501</v>
      </c>
      <c r="C37" s="1" t="s">
        <v>221</v>
      </c>
      <c r="D37" s="1" t="s">
        <v>566</v>
      </c>
      <c r="E37" s="1" t="s">
        <v>528</v>
      </c>
      <c r="F37" s="1" t="s">
        <v>559</v>
      </c>
      <c r="G37" s="4">
        <v>0.33</v>
      </c>
      <c r="H37" s="1">
        <v>119.0</v>
      </c>
    </row>
    <row r="38">
      <c r="A38" s="1">
        <v>37.0</v>
      </c>
      <c r="B38" s="1" t="s">
        <v>512</v>
      </c>
      <c r="C38" s="1" t="s">
        <v>398</v>
      </c>
      <c r="D38" s="1" t="s">
        <v>567</v>
      </c>
      <c r="E38" s="1" t="s">
        <v>522</v>
      </c>
      <c r="F38" s="1" t="s">
        <v>559</v>
      </c>
      <c r="G38" s="4">
        <v>0.33</v>
      </c>
      <c r="H38" s="1">
        <v>174.0</v>
      </c>
    </row>
    <row r="39">
      <c r="A39" s="1">
        <v>38.0</v>
      </c>
      <c r="B39" s="1" t="s">
        <v>512</v>
      </c>
      <c r="C39" s="1" t="s">
        <v>405</v>
      </c>
      <c r="D39" s="1" t="s">
        <v>568</v>
      </c>
      <c r="E39" s="1" t="s">
        <v>522</v>
      </c>
      <c r="F39" s="1" t="s">
        <v>559</v>
      </c>
      <c r="G39" s="4">
        <v>0.33</v>
      </c>
      <c r="H39" s="1">
        <v>175.0</v>
      </c>
    </row>
    <row r="40">
      <c r="A40" s="1">
        <v>39.0</v>
      </c>
      <c r="B40" s="1" t="s">
        <v>512</v>
      </c>
      <c r="C40" s="1" t="s">
        <v>405</v>
      </c>
      <c r="D40" s="1" t="s">
        <v>569</v>
      </c>
      <c r="E40" s="1" t="s">
        <v>530</v>
      </c>
      <c r="F40" s="1" t="s">
        <v>559</v>
      </c>
      <c r="G40" s="4">
        <v>0.33</v>
      </c>
      <c r="H40" s="1">
        <v>176.0</v>
      </c>
    </row>
    <row r="41">
      <c r="A41" s="1">
        <v>40.0</v>
      </c>
      <c r="B41" s="1" t="s">
        <v>551</v>
      </c>
      <c r="C41" s="1" t="s">
        <v>469</v>
      </c>
      <c r="D41" s="1" t="s">
        <v>570</v>
      </c>
      <c r="E41" s="1" t="s">
        <v>522</v>
      </c>
      <c r="F41" s="1" t="s">
        <v>559</v>
      </c>
      <c r="G41" s="4">
        <v>0.5</v>
      </c>
      <c r="H41" s="1">
        <v>193.0</v>
      </c>
    </row>
    <row r="42">
      <c r="A42" s="1">
        <v>41.0</v>
      </c>
      <c r="B42" s="1" t="s">
        <v>551</v>
      </c>
      <c r="C42" s="1" t="s">
        <v>469</v>
      </c>
      <c r="D42" s="1" t="s">
        <v>571</v>
      </c>
      <c r="E42" s="1" t="s">
        <v>528</v>
      </c>
      <c r="F42" s="1" t="s">
        <v>559</v>
      </c>
      <c r="G42" s="4">
        <v>0.5</v>
      </c>
      <c r="H42" s="1">
        <v>193.0</v>
      </c>
    </row>
    <row r="43">
      <c r="A43" s="1">
        <v>42.0</v>
      </c>
      <c r="B43" s="1" t="s">
        <v>556</v>
      </c>
      <c r="C43" s="1" t="s">
        <v>129</v>
      </c>
      <c r="D43" s="1" t="s">
        <v>572</v>
      </c>
      <c r="E43" s="1" t="s">
        <v>522</v>
      </c>
      <c r="F43" s="1" t="s">
        <v>559</v>
      </c>
      <c r="G43" s="4">
        <v>0.5</v>
      </c>
      <c r="H43" s="1">
        <v>84.0</v>
      </c>
    </row>
    <row r="44">
      <c r="A44" s="1">
        <v>43.0</v>
      </c>
      <c r="B44" s="1" t="s">
        <v>556</v>
      </c>
      <c r="C44" s="1" t="s">
        <v>129</v>
      </c>
      <c r="D44" s="1" t="s">
        <v>573</v>
      </c>
      <c r="E44" s="1" t="s">
        <v>530</v>
      </c>
      <c r="F44" s="1" t="s">
        <v>559</v>
      </c>
      <c r="G44" s="4">
        <v>0.5</v>
      </c>
      <c r="H44" s="1">
        <v>85.0</v>
      </c>
    </row>
    <row r="45">
      <c r="A45" s="1">
        <v>44.0</v>
      </c>
      <c r="B45" s="1" t="s">
        <v>556</v>
      </c>
      <c r="C45" s="1" t="s">
        <v>129</v>
      </c>
      <c r="D45" s="1" t="s">
        <v>574</v>
      </c>
      <c r="E45" s="1" t="s">
        <v>534</v>
      </c>
      <c r="F45" s="1" t="s">
        <v>559</v>
      </c>
      <c r="G45" s="4">
        <v>0.5</v>
      </c>
      <c r="H45" s="1">
        <v>86.0</v>
      </c>
    </row>
    <row r="46">
      <c r="A46" s="1">
        <v>45.0</v>
      </c>
      <c r="B46" s="1" t="s">
        <v>556</v>
      </c>
      <c r="C46" s="1" t="s">
        <v>141</v>
      </c>
      <c r="D46" s="1" t="s">
        <v>575</v>
      </c>
      <c r="E46" s="1" t="s">
        <v>522</v>
      </c>
      <c r="F46" s="1" t="s">
        <v>559</v>
      </c>
      <c r="G46" s="4">
        <v>0.5</v>
      </c>
      <c r="H46" s="1">
        <v>91.0</v>
      </c>
    </row>
    <row r="47">
      <c r="A47" s="1">
        <v>46.0</v>
      </c>
      <c r="B47" s="1" t="s">
        <v>556</v>
      </c>
      <c r="C47" s="1" t="s">
        <v>141</v>
      </c>
      <c r="D47" s="1" t="s">
        <v>576</v>
      </c>
      <c r="E47" s="1" t="s">
        <v>528</v>
      </c>
      <c r="F47" s="1" t="s">
        <v>559</v>
      </c>
      <c r="G47" s="4">
        <v>0.5</v>
      </c>
      <c r="H47" s="1">
        <v>91.0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9.63"/>
    <col customWidth="1" min="3" max="3" width="8.38"/>
    <col customWidth="1" min="4" max="4" width="29.38"/>
    <col customWidth="1" min="6" max="6" width="6.0"/>
    <col customWidth="1" min="7" max="7" width="9.38"/>
    <col customWidth="1" min="8" max="8" width="6.0"/>
  </cols>
  <sheetData>
    <row r="1">
      <c r="A1" s="5" t="s">
        <v>577</v>
      </c>
      <c r="B1" s="5" t="s">
        <v>1</v>
      </c>
      <c r="C1" s="5" t="s">
        <v>578</v>
      </c>
      <c r="D1" s="5" t="s">
        <v>2</v>
      </c>
      <c r="E1" s="5" t="s">
        <v>579</v>
      </c>
      <c r="F1" s="6" t="s">
        <v>520</v>
      </c>
    </row>
    <row r="2">
      <c r="A2" s="5" t="s">
        <v>361</v>
      </c>
      <c r="B2" s="5" t="s">
        <v>361</v>
      </c>
      <c r="C2" s="5" t="s">
        <v>580</v>
      </c>
      <c r="D2" s="5" t="s">
        <v>362</v>
      </c>
      <c r="E2" s="5" t="s">
        <v>523</v>
      </c>
      <c r="F2" s="6">
        <v>163.0</v>
      </c>
      <c r="G2" s="4"/>
    </row>
    <row r="3">
      <c r="A3" s="7">
        <v>0.0</v>
      </c>
      <c r="B3" s="5" t="s">
        <v>361</v>
      </c>
      <c r="C3" s="5" t="s">
        <v>581</v>
      </c>
      <c r="D3" s="5" t="s">
        <v>365</v>
      </c>
      <c r="E3" s="5" t="s">
        <v>523</v>
      </c>
      <c r="F3" s="6">
        <v>164.0</v>
      </c>
      <c r="G3" s="4"/>
    </row>
    <row r="4">
      <c r="A4" s="8"/>
      <c r="B4" s="5" t="s">
        <v>368</v>
      </c>
      <c r="C4" s="5" t="s">
        <v>582</v>
      </c>
      <c r="D4" s="5" t="s">
        <v>369</v>
      </c>
      <c r="E4" s="5" t="s">
        <v>523</v>
      </c>
      <c r="F4" s="6">
        <v>165.0</v>
      </c>
      <c r="G4" s="4"/>
    </row>
    <row r="5">
      <c r="A5" s="5" t="s">
        <v>413</v>
      </c>
      <c r="B5" s="5" t="s">
        <v>413</v>
      </c>
      <c r="C5" s="5" t="s">
        <v>583</v>
      </c>
      <c r="D5" s="5" t="s">
        <v>414</v>
      </c>
      <c r="E5" s="5" t="s">
        <v>523</v>
      </c>
      <c r="F5" s="6">
        <v>178.0</v>
      </c>
      <c r="G5" s="4"/>
    </row>
    <row r="6">
      <c r="A6" s="7">
        <v>-0.5</v>
      </c>
      <c r="B6" s="5" t="s">
        <v>413</v>
      </c>
      <c r="C6" s="5" t="s">
        <v>584</v>
      </c>
      <c r="D6" s="5" t="s">
        <v>427</v>
      </c>
      <c r="E6" s="5" t="s">
        <v>523</v>
      </c>
      <c r="F6" s="6">
        <v>183.0</v>
      </c>
      <c r="G6" s="4"/>
    </row>
    <row r="7">
      <c r="A7" s="8"/>
      <c r="B7" s="5" t="s">
        <v>413</v>
      </c>
      <c r="C7" s="5" t="s">
        <v>585</v>
      </c>
      <c r="D7" s="5" t="s">
        <v>437</v>
      </c>
      <c r="E7" s="5" t="s">
        <v>523</v>
      </c>
      <c r="F7" s="6">
        <v>186.0</v>
      </c>
      <c r="G7" s="4"/>
    </row>
    <row r="8">
      <c r="A8" s="8"/>
      <c r="B8" s="5" t="s">
        <v>586</v>
      </c>
      <c r="C8" s="5" t="s">
        <v>587</v>
      </c>
      <c r="D8" s="5" t="s">
        <v>587</v>
      </c>
      <c r="E8" s="5" t="s">
        <v>587</v>
      </c>
      <c r="F8" s="6" t="s">
        <v>587</v>
      </c>
      <c r="G8" s="4"/>
    </row>
    <row r="9">
      <c r="A9" s="5" t="s">
        <v>588</v>
      </c>
      <c r="B9" s="5" t="s">
        <v>439</v>
      </c>
      <c r="C9" s="5" t="s">
        <v>589</v>
      </c>
      <c r="D9" s="5" t="s">
        <v>440</v>
      </c>
      <c r="E9" s="5" t="s">
        <v>523</v>
      </c>
      <c r="F9" s="6">
        <v>187.0</v>
      </c>
      <c r="G9" s="4"/>
    </row>
    <row r="10">
      <c r="A10" s="7">
        <v>-0.5</v>
      </c>
      <c r="B10" s="5" t="s">
        <v>444</v>
      </c>
      <c r="C10" s="5" t="s">
        <v>590</v>
      </c>
      <c r="D10" s="5" t="s">
        <v>445</v>
      </c>
      <c r="E10" s="5" t="s">
        <v>523</v>
      </c>
      <c r="F10" s="6">
        <v>188.0</v>
      </c>
      <c r="G10" s="4"/>
    </row>
    <row r="11">
      <c r="A11" s="8"/>
      <c r="B11" s="5" t="s">
        <v>450</v>
      </c>
      <c r="C11" s="5" t="s">
        <v>591</v>
      </c>
      <c r="D11" s="5" t="s">
        <v>458</v>
      </c>
      <c r="E11" s="5" t="s">
        <v>523</v>
      </c>
      <c r="F11" s="6">
        <v>190.0</v>
      </c>
      <c r="G11" s="4"/>
    </row>
    <row r="12">
      <c r="A12" s="8"/>
      <c r="B12" s="5" t="s">
        <v>592</v>
      </c>
      <c r="C12" s="5" t="s">
        <v>587</v>
      </c>
      <c r="D12" s="5" t="s">
        <v>587</v>
      </c>
      <c r="E12" s="5" t="s">
        <v>587</v>
      </c>
      <c r="F12" s="6" t="s">
        <v>587</v>
      </c>
      <c r="G12" s="4"/>
    </row>
    <row r="13">
      <c r="A13" s="5" t="s">
        <v>512</v>
      </c>
      <c r="B13" s="5" t="s">
        <v>392</v>
      </c>
      <c r="C13" s="5" t="s">
        <v>593</v>
      </c>
      <c r="D13" s="5" t="s">
        <v>401</v>
      </c>
      <c r="E13" s="5" t="s">
        <v>523</v>
      </c>
      <c r="F13" s="6">
        <v>174.0</v>
      </c>
      <c r="G13" s="4"/>
    </row>
    <row r="14">
      <c r="A14" s="7">
        <v>-0.33</v>
      </c>
      <c r="B14" s="5" t="s">
        <v>392</v>
      </c>
      <c r="C14" s="5" t="s">
        <v>593</v>
      </c>
      <c r="D14" s="5" t="s">
        <v>399</v>
      </c>
      <c r="E14" s="5" t="s">
        <v>559</v>
      </c>
      <c r="F14" s="6">
        <v>174.0</v>
      </c>
      <c r="G14" s="4"/>
    </row>
    <row r="15">
      <c r="A15" s="5" t="s">
        <v>246</v>
      </c>
      <c r="B15" s="5" t="s">
        <v>246</v>
      </c>
      <c r="C15" s="5" t="s">
        <v>594</v>
      </c>
      <c r="D15" s="5" t="s">
        <v>247</v>
      </c>
      <c r="E15" s="5" t="s">
        <v>523</v>
      </c>
      <c r="F15" s="6">
        <v>126.0</v>
      </c>
      <c r="G15" s="4"/>
    </row>
    <row r="16">
      <c r="A16" s="9">
        <v>-0.5</v>
      </c>
      <c r="B16" s="10" t="s">
        <v>246</v>
      </c>
      <c r="C16" s="10" t="s">
        <v>595</v>
      </c>
      <c r="D16" s="10" t="s">
        <v>252</v>
      </c>
      <c r="E16" s="10" t="s">
        <v>559</v>
      </c>
      <c r="F16" s="11">
        <v>128.0</v>
      </c>
      <c r="G16" s="4"/>
    </row>
    <row r="17">
      <c r="A17" s="1" t="s">
        <v>81</v>
      </c>
      <c r="B17" s="1" t="s">
        <v>81</v>
      </c>
      <c r="C17" s="1" t="s">
        <v>80</v>
      </c>
      <c r="D17" s="1" t="s">
        <v>82</v>
      </c>
      <c r="E17" s="1" t="s">
        <v>83</v>
      </c>
      <c r="G17" s="4"/>
    </row>
    <row r="18">
      <c r="A18" s="12" t="s">
        <v>596</v>
      </c>
      <c r="B18" s="1" t="s">
        <v>90</v>
      </c>
      <c r="C18" s="1" t="s">
        <v>89</v>
      </c>
      <c r="D18" s="1" t="s">
        <v>91</v>
      </c>
      <c r="E18" s="1" t="s">
        <v>92</v>
      </c>
      <c r="G18" s="4"/>
    </row>
    <row r="19">
      <c r="A19" s="5" t="s">
        <v>130</v>
      </c>
      <c r="B19" s="5" t="s">
        <v>130</v>
      </c>
      <c r="C19" s="1" t="s">
        <v>129</v>
      </c>
      <c r="D19" s="1" t="s">
        <v>139</v>
      </c>
      <c r="E19" s="1" t="s">
        <v>140</v>
      </c>
      <c r="F19" s="6"/>
      <c r="G19" s="4"/>
    </row>
    <row r="20">
      <c r="A20" s="12" t="s">
        <v>597</v>
      </c>
      <c r="B20" s="5" t="s">
        <v>130</v>
      </c>
      <c r="C20" s="1" t="s">
        <v>141</v>
      </c>
      <c r="D20" s="1" t="s">
        <v>142</v>
      </c>
      <c r="E20" s="1" t="s">
        <v>143</v>
      </c>
      <c r="G20" s="4"/>
    </row>
    <row r="21">
      <c r="B21" s="5" t="s">
        <v>130</v>
      </c>
      <c r="C21" s="1" t="s">
        <v>154</v>
      </c>
      <c r="D21" s="1" t="s">
        <v>157</v>
      </c>
      <c r="E21" s="1" t="s">
        <v>158</v>
      </c>
    </row>
    <row r="22">
      <c r="A22" s="1" t="s">
        <v>195</v>
      </c>
      <c r="B22" s="1" t="s">
        <v>184</v>
      </c>
      <c r="C22" s="1" t="s">
        <v>183</v>
      </c>
      <c r="D22" s="5" t="s">
        <v>401</v>
      </c>
      <c r="E22" s="5" t="s">
        <v>523</v>
      </c>
      <c r="F22" s="6">
        <v>174.0</v>
      </c>
    </row>
    <row r="23">
      <c r="A23" s="12" t="s">
        <v>597</v>
      </c>
      <c r="B23" s="1" t="s">
        <v>184</v>
      </c>
      <c r="C23" s="1" t="s">
        <v>187</v>
      </c>
      <c r="E23" s="5" t="s">
        <v>523</v>
      </c>
      <c r="G23" s="4"/>
    </row>
    <row r="24">
      <c r="B24" s="1" t="s">
        <v>195</v>
      </c>
      <c r="C24" s="1" t="s">
        <v>194</v>
      </c>
      <c r="E24" s="5" t="s">
        <v>523</v>
      </c>
      <c r="G24" s="4"/>
    </row>
    <row r="25">
      <c r="B25" s="1" t="s">
        <v>195</v>
      </c>
      <c r="C25" s="1" t="s">
        <v>203</v>
      </c>
      <c r="E25" s="5" t="s">
        <v>523</v>
      </c>
      <c r="G25" s="4"/>
    </row>
    <row r="26">
      <c r="B26" s="1" t="s">
        <v>195</v>
      </c>
      <c r="C26" s="1" t="s">
        <v>210</v>
      </c>
      <c r="E26" s="5" t="s">
        <v>523</v>
      </c>
      <c r="G26" s="4"/>
    </row>
    <row r="27">
      <c r="B27" s="1" t="s">
        <v>195</v>
      </c>
      <c r="C27" s="1" t="s">
        <v>217</v>
      </c>
      <c r="E27" s="5" t="s">
        <v>523</v>
      </c>
      <c r="G27" s="4"/>
    </row>
    <row r="28">
      <c r="A28" s="1" t="s">
        <v>285</v>
      </c>
      <c r="B28" s="1" t="s">
        <v>285</v>
      </c>
      <c r="C28" s="1" t="s">
        <v>284</v>
      </c>
      <c r="E28" s="5" t="s">
        <v>523</v>
      </c>
      <c r="G28" s="4"/>
    </row>
    <row r="29">
      <c r="A29" s="12" t="s">
        <v>597</v>
      </c>
      <c r="B29" s="1" t="s">
        <v>285</v>
      </c>
      <c r="C29" s="1" t="s">
        <v>294</v>
      </c>
      <c r="E29" s="5" t="s">
        <v>523</v>
      </c>
      <c r="G29" s="4"/>
    </row>
    <row r="30">
      <c r="B30" s="1" t="s">
        <v>285</v>
      </c>
      <c r="C30" s="1" t="s">
        <v>299</v>
      </c>
      <c r="E30" s="5" t="s">
        <v>523</v>
      </c>
      <c r="G30" s="4"/>
    </row>
    <row r="31">
      <c r="B31" s="1" t="s">
        <v>309</v>
      </c>
      <c r="C31" s="1" t="s">
        <v>308</v>
      </c>
      <c r="E31" s="5" t="s">
        <v>523</v>
      </c>
      <c r="G31" s="4"/>
    </row>
    <row r="32">
      <c r="B32" s="1" t="s">
        <v>314</v>
      </c>
      <c r="C32" s="1" t="s">
        <v>313</v>
      </c>
      <c r="E32" s="5" t="s">
        <v>523</v>
      </c>
      <c r="G32" s="4"/>
    </row>
    <row r="33">
      <c r="B33" s="1" t="s">
        <v>314</v>
      </c>
      <c r="C33" s="1" t="s">
        <v>317</v>
      </c>
      <c r="E33" s="5" t="s">
        <v>523</v>
      </c>
      <c r="G33" s="4"/>
    </row>
    <row r="34">
      <c r="B34" s="1" t="s">
        <v>314</v>
      </c>
      <c r="C34" s="1" t="s">
        <v>322</v>
      </c>
      <c r="E34" s="5" t="s">
        <v>523</v>
      </c>
      <c r="G34" s="4"/>
    </row>
    <row r="35">
      <c r="G35" s="4"/>
    </row>
    <row r="36">
      <c r="G36" s="4"/>
    </row>
    <row r="37">
      <c r="G37" s="4"/>
    </row>
    <row r="38">
      <c r="G38" s="4"/>
    </row>
    <row r="39">
      <c r="G39" s="4"/>
    </row>
    <row r="40">
      <c r="G40" s="4"/>
    </row>
    <row r="41">
      <c r="G41" s="4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